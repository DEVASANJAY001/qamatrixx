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0F2C18-3E53-4129-8AB4-D93928CA9F62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Quality_Assurance_Matrix - 2026" sheetId="1" r:id="rId1"/>
  </sheets>
  <calcPr calcId="191029"/>
</workbook>
</file>

<file path=xl/calcChain.xml><?xml version="1.0" encoding="utf-8"?>
<calcChain xmlns="http://schemas.openxmlformats.org/spreadsheetml/2006/main">
  <c r="BQ192" i="1" l="1"/>
  <c r="BP192" i="1"/>
  <c r="BR192" i="1" s="1"/>
  <c r="BQ191" i="1"/>
  <c r="BP191" i="1"/>
  <c r="BR191" i="1" s="1"/>
  <c r="BQ190" i="1"/>
  <c r="BP190" i="1"/>
  <c r="BR190" i="1" s="1"/>
  <c r="BQ189" i="1"/>
  <c r="BP189" i="1"/>
  <c r="BR189" i="1" s="1"/>
  <c r="BQ188" i="1"/>
  <c r="BP188" i="1"/>
  <c r="BR188" i="1" s="1"/>
  <c r="BQ187" i="1"/>
  <c r="BP187" i="1"/>
  <c r="BR187" i="1" s="1"/>
  <c r="BQ186" i="1"/>
  <c r="BP186" i="1"/>
  <c r="BR186" i="1" s="1"/>
  <c r="BQ185" i="1"/>
  <c r="BP185" i="1"/>
  <c r="BR185" i="1" s="1"/>
  <c r="BQ184" i="1"/>
  <c r="BP184" i="1"/>
  <c r="BR184" i="1" s="1"/>
  <c r="BQ183" i="1"/>
  <c r="BP183" i="1"/>
  <c r="BR183" i="1" s="1"/>
  <c r="BQ182" i="1"/>
  <c r="BP182" i="1"/>
  <c r="BR182" i="1" s="1"/>
  <c r="BQ181" i="1"/>
  <c r="BP181" i="1"/>
  <c r="BR181" i="1" s="1"/>
  <c r="BQ180" i="1"/>
  <c r="BP180" i="1"/>
  <c r="BR180" i="1" s="1"/>
  <c r="BQ179" i="1"/>
  <c r="BP179" i="1"/>
  <c r="BR179" i="1" s="1"/>
  <c r="BQ178" i="1"/>
  <c r="BP178" i="1"/>
  <c r="BR178" i="1" s="1"/>
  <c r="BQ177" i="1"/>
  <c r="BP177" i="1"/>
  <c r="BR177" i="1" s="1"/>
  <c r="BQ176" i="1"/>
  <c r="BP176" i="1"/>
  <c r="BR176" i="1" s="1"/>
  <c r="BQ175" i="1"/>
  <c r="BP175" i="1"/>
  <c r="BR175" i="1" s="1"/>
  <c r="BQ174" i="1"/>
  <c r="BP174" i="1"/>
  <c r="BR174" i="1" s="1"/>
  <c r="BQ173" i="1"/>
  <c r="BP173" i="1"/>
  <c r="BR173" i="1" s="1"/>
  <c r="BQ172" i="1"/>
  <c r="BP172" i="1"/>
  <c r="BR172" i="1" s="1"/>
  <c r="BQ171" i="1"/>
  <c r="BP171" i="1"/>
  <c r="BR171" i="1" s="1"/>
  <c r="BQ170" i="1"/>
  <c r="BP170" i="1"/>
  <c r="BR170" i="1" s="1"/>
  <c r="BQ169" i="1"/>
  <c r="BP169" i="1"/>
  <c r="BR169" i="1" s="1"/>
  <c r="BQ168" i="1"/>
  <c r="BP168" i="1"/>
  <c r="BR168" i="1" s="1"/>
  <c r="BQ167" i="1"/>
  <c r="BP167" i="1"/>
  <c r="BR167" i="1" s="1"/>
  <c r="BQ166" i="1"/>
  <c r="BP166" i="1"/>
  <c r="BR166" i="1" s="1"/>
  <c r="BQ165" i="1"/>
  <c r="BP165" i="1"/>
  <c r="BR165" i="1" s="1"/>
  <c r="BQ164" i="1"/>
  <c r="BP164" i="1"/>
  <c r="BR164" i="1" s="1"/>
  <c r="BQ163" i="1"/>
  <c r="BP163" i="1"/>
  <c r="BR163" i="1" s="1"/>
  <c r="BQ162" i="1"/>
  <c r="BP162" i="1"/>
  <c r="BR162" i="1" s="1"/>
  <c r="BQ161" i="1"/>
  <c r="BP161" i="1"/>
  <c r="BR161" i="1" s="1"/>
  <c r="BQ160" i="1"/>
  <c r="BP160" i="1"/>
  <c r="BR160" i="1" s="1"/>
  <c r="BQ159" i="1"/>
  <c r="BP159" i="1"/>
  <c r="BR159" i="1" s="1"/>
  <c r="BQ158" i="1"/>
  <c r="BP158" i="1"/>
  <c r="BR158" i="1" s="1"/>
  <c r="BQ157" i="1"/>
  <c r="BP157" i="1"/>
  <c r="BR157" i="1" s="1"/>
  <c r="BQ156" i="1"/>
  <c r="BP156" i="1"/>
  <c r="BR156" i="1" s="1"/>
  <c r="BQ155" i="1"/>
  <c r="BP155" i="1"/>
  <c r="BR155" i="1" s="1"/>
  <c r="BQ154" i="1"/>
  <c r="BP154" i="1"/>
  <c r="BR154" i="1" s="1"/>
  <c r="BQ153" i="1"/>
  <c r="BP153" i="1"/>
  <c r="BR153" i="1" s="1"/>
  <c r="BQ152" i="1"/>
  <c r="BP152" i="1"/>
  <c r="BR152" i="1" s="1"/>
  <c r="BQ151" i="1"/>
  <c r="BP151" i="1"/>
  <c r="BR151" i="1" s="1"/>
  <c r="BQ150" i="1"/>
  <c r="BP150" i="1"/>
  <c r="BR150" i="1" s="1"/>
  <c r="BQ149" i="1"/>
  <c r="BP149" i="1"/>
  <c r="BR149" i="1" s="1"/>
  <c r="BQ148" i="1"/>
  <c r="BP148" i="1"/>
  <c r="BR148" i="1" s="1"/>
  <c r="BQ147" i="1"/>
  <c r="BP147" i="1"/>
  <c r="BR147" i="1" s="1"/>
  <c r="BQ146" i="1"/>
  <c r="BP146" i="1"/>
  <c r="BR146" i="1" s="1"/>
  <c r="BQ145" i="1"/>
  <c r="BP145" i="1"/>
  <c r="BR145" i="1" s="1"/>
  <c r="BQ144" i="1"/>
  <c r="BP144" i="1"/>
  <c r="BR144" i="1" s="1"/>
  <c r="BQ143" i="1"/>
  <c r="BP143" i="1"/>
  <c r="BR143" i="1" s="1"/>
  <c r="BQ142" i="1"/>
  <c r="BP142" i="1"/>
  <c r="BR142" i="1" s="1"/>
  <c r="BQ141" i="1"/>
  <c r="BP141" i="1"/>
  <c r="BR141" i="1" s="1"/>
  <c r="BQ140" i="1"/>
  <c r="BP140" i="1"/>
  <c r="BR140" i="1" s="1"/>
  <c r="BQ139" i="1"/>
  <c r="BP139" i="1"/>
  <c r="BR139" i="1" s="1"/>
  <c r="BQ138" i="1"/>
  <c r="BP138" i="1"/>
  <c r="BR138" i="1" s="1"/>
  <c r="BQ137" i="1"/>
  <c r="BP137" i="1"/>
  <c r="BR137" i="1" s="1"/>
  <c r="BQ136" i="1"/>
  <c r="BP136" i="1"/>
  <c r="BR136" i="1" s="1"/>
  <c r="BQ135" i="1"/>
  <c r="BP135" i="1"/>
  <c r="BR135" i="1" s="1"/>
  <c r="BQ134" i="1"/>
  <c r="BP134" i="1"/>
  <c r="BR134" i="1" s="1"/>
  <c r="BQ133" i="1"/>
  <c r="BP133" i="1"/>
  <c r="BR133" i="1" s="1"/>
  <c r="BQ132" i="1"/>
  <c r="BP132" i="1"/>
  <c r="BR132" i="1" s="1"/>
  <c r="BQ131" i="1"/>
  <c r="BP131" i="1"/>
  <c r="BR131" i="1" s="1"/>
  <c r="BQ130" i="1"/>
  <c r="BP130" i="1"/>
  <c r="BR130" i="1" s="1"/>
  <c r="BQ129" i="1"/>
  <c r="BP129" i="1"/>
  <c r="BR129" i="1" s="1"/>
  <c r="BQ128" i="1"/>
  <c r="BP128" i="1"/>
  <c r="BR128" i="1" s="1"/>
  <c r="BQ127" i="1"/>
  <c r="BP127" i="1"/>
  <c r="BR127" i="1" s="1"/>
  <c r="BQ126" i="1"/>
  <c r="BP126" i="1"/>
  <c r="BR126" i="1" s="1"/>
  <c r="BQ125" i="1"/>
  <c r="BP125" i="1"/>
  <c r="BR125" i="1" s="1"/>
  <c r="BQ124" i="1"/>
  <c r="BP124" i="1"/>
  <c r="BR124" i="1" s="1"/>
  <c r="BQ123" i="1"/>
  <c r="BP123" i="1"/>
  <c r="BR123" i="1" s="1"/>
  <c r="BQ122" i="1"/>
  <c r="BP122" i="1"/>
  <c r="BR122" i="1" s="1"/>
  <c r="BQ121" i="1"/>
  <c r="BP121" i="1"/>
  <c r="BR121" i="1" s="1"/>
  <c r="BQ120" i="1"/>
  <c r="BP120" i="1"/>
  <c r="BR120" i="1" s="1"/>
  <c r="BQ119" i="1"/>
  <c r="BP119" i="1"/>
  <c r="BR119" i="1" s="1"/>
  <c r="BQ118" i="1"/>
  <c r="BP118" i="1"/>
  <c r="BR118" i="1" s="1"/>
  <c r="BQ117" i="1"/>
  <c r="BP117" i="1"/>
  <c r="BR117" i="1" s="1"/>
  <c r="BQ116" i="1"/>
  <c r="BP116" i="1"/>
  <c r="BR116" i="1" s="1"/>
  <c r="BQ115" i="1"/>
  <c r="BP115" i="1"/>
  <c r="BR115" i="1" s="1"/>
  <c r="BQ114" i="1"/>
  <c r="BP114" i="1"/>
  <c r="BR114" i="1" s="1"/>
  <c r="BQ113" i="1"/>
  <c r="BP113" i="1"/>
  <c r="BR113" i="1" s="1"/>
  <c r="BQ112" i="1"/>
  <c r="BP112" i="1"/>
  <c r="BR112" i="1" s="1"/>
  <c r="BQ111" i="1"/>
  <c r="BP111" i="1"/>
  <c r="BR111" i="1" s="1"/>
  <c r="BQ110" i="1"/>
  <c r="BP110" i="1"/>
  <c r="BR110" i="1" s="1"/>
  <c r="BQ109" i="1"/>
  <c r="BP109" i="1"/>
  <c r="BR109" i="1" s="1"/>
  <c r="BQ108" i="1"/>
  <c r="BP108" i="1"/>
  <c r="BR108" i="1" s="1"/>
  <c r="BQ107" i="1"/>
  <c r="BP107" i="1"/>
  <c r="BR107" i="1" s="1"/>
  <c r="BQ106" i="1"/>
  <c r="BP106" i="1"/>
  <c r="BR106" i="1" s="1"/>
  <c r="BQ105" i="1"/>
  <c r="BP105" i="1"/>
  <c r="BR105" i="1" s="1"/>
  <c r="BQ104" i="1"/>
  <c r="BP104" i="1"/>
  <c r="BR104" i="1" s="1"/>
  <c r="BQ103" i="1"/>
  <c r="BP103" i="1"/>
  <c r="BR103" i="1" s="1"/>
  <c r="BQ102" i="1"/>
  <c r="BP102" i="1"/>
  <c r="BR102" i="1" s="1"/>
  <c r="BQ101" i="1"/>
  <c r="BP101" i="1"/>
  <c r="BR101" i="1" s="1"/>
  <c r="BQ100" i="1"/>
  <c r="BP100" i="1"/>
  <c r="BR100" i="1" s="1"/>
  <c r="BQ99" i="1"/>
  <c r="BP99" i="1"/>
  <c r="BR99" i="1" s="1"/>
  <c r="BQ98" i="1"/>
  <c r="BP98" i="1"/>
  <c r="BR98" i="1" s="1"/>
  <c r="BQ97" i="1"/>
  <c r="BP97" i="1"/>
  <c r="BR97" i="1" s="1"/>
  <c r="BQ96" i="1"/>
  <c r="BP96" i="1"/>
  <c r="BR96" i="1" s="1"/>
  <c r="BQ95" i="1"/>
  <c r="BP95" i="1"/>
  <c r="BR95" i="1" s="1"/>
  <c r="BQ94" i="1"/>
  <c r="BP94" i="1"/>
  <c r="BR94" i="1" s="1"/>
  <c r="BQ93" i="1"/>
  <c r="BP93" i="1"/>
  <c r="BR93" i="1" s="1"/>
  <c r="BQ92" i="1"/>
  <c r="BP92" i="1"/>
  <c r="BR92" i="1" s="1"/>
  <c r="BQ91" i="1"/>
  <c r="BP91" i="1"/>
  <c r="BR91" i="1" s="1"/>
  <c r="BQ90" i="1"/>
  <c r="BP90" i="1"/>
  <c r="BR90" i="1" s="1"/>
  <c r="BQ89" i="1"/>
  <c r="BP89" i="1"/>
  <c r="BR89" i="1" s="1"/>
  <c r="BQ88" i="1"/>
  <c r="BP88" i="1"/>
  <c r="BR88" i="1" s="1"/>
  <c r="BQ87" i="1"/>
  <c r="BP87" i="1"/>
  <c r="BR87" i="1" s="1"/>
  <c r="BQ86" i="1"/>
  <c r="BP86" i="1"/>
  <c r="BR86" i="1" s="1"/>
  <c r="BQ85" i="1"/>
  <c r="BP85" i="1"/>
  <c r="BR85" i="1" s="1"/>
  <c r="BQ84" i="1"/>
  <c r="BP84" i="1"/>
  <c r="BR84" i="1" s="1"/>
  <c r="BQ83" i="1"/>
  <c r="BP83" i="1"/>
  <c r="BR83" i="1" s="1"/>
  <c r="BQ82" i="1"/>
  <c r="BP82" i="1"/>
  <c r="BR82" i="1" s="1"/>
  <c r="BQ81" i="1"/>
  <c r="BP81" i="1"/>
  <c r="BR81" i="1" s="1"/>
  <c r="BQ80" i="1"/>
  <c r="BP80" i="1"/>
  <c r="BR80" i="1" s="1"/>
  <c r="BQ79" i="1"/>
  <c r="BP79" i="1"/>
  <c r="BR79" i="1" s="1"/>
  <c r="BQ78" i="1"/>
  <c r="BP78" i="1"/>
  <c r="BR78" i="1" s="1"/>
  <c r="BQ77" i="1"/>
  <c r="BP77" i="1"/>
  <c r="BR77" i="1" s="1"/>
  <c r="BQ76" i="1"/>
  <c r="BP76" i="1"/>
  <c r="BR76" i="1" s="1"/>
  <c r="BQ75" i="1"/>
  <c r="BP75" i="1"/>
  <c r="BR75" i="1" s="1"/>
  <c r="BQ74" i="1"/>
  <c r="BP74" i="1"/>
  <c r="BR74" i="1" s="1"/>
  <c r="BQ73" i="1"/>
  <c r="BP73" i="1"/>
  <c r="BR73" i="1" s="1"/>
  <c r="BQ72" i="1"/>
  <c r="BP72" i="1"/>
  <c r="BR72" i="1" s="1"/>
  <c r="BQ71" i="1"/>
  <c r="BP71" i="1"/>
  <c r="BR71" i="1" s="1"/>
  <c r="BQ70" i="1"/>
  <c r="BP70" i="1"/>
  <c r="BR70" i="1" s="1"/>
  <c r="BQ69" i="1"/>
  <c r="BP69" i="1"/>
  <c r="BR69" i="1" s="1"/>
  <c r="BQ68" i="1"/>
  <c r="BP68" i="1"/>
  <c r="BR68" i="1" s="1"/>
  <c r="BQ67" i="1"/>
  <c r="BP67" i="1"/>
  <c r="BR67" i="1" s="1"/>
  <c r="BQ66" i="1"/>
  <c r="BP66" i="1"/>
  <c r="BR66" i="1" s="1"/>
  <c r="BQ65" i="1"/>
  <c r="BP65" i="1"/>
  <c r="BR65" i="1" s="1"/>
  <c r="BQ64" i="1"/>
  <c r="BP64" i="1"/>
  <c r="BR64" i="1" s="1"/>
  <c r="BQ63" i="1"/>
  <c r="BP63" i="1"/>
  <c r="BR63" i="1" s="1"/>
  <c r="BQ62" i="1"/>
  <c r="BP62" i="1"/>
  <c r="BR62" i="1" s="1"/>
  <c r="BQ61" i="1"/>
  <c r="BP61" i="1"/>
  <c r="BR61" i="1" s="1"/>
  <c r="BQ60" i="1"/>
  <c r="BP60" i="1"/>
  <c r="BR60" i="1" s="1"/>
  <c r="BQ59" i="1"/>
  <c r="BP59" i="1"/>
  <c r="BR59" i="1" s="1"/>
  <c r="BQ58" i="1"/>
  <c r="BP58" i="1"/>
  <c r="BR58" i="1" s="1"/>
  <c r="BQ57" i="1"/>
  <c r="BP57" i="1"/>
  <c r="BR57" i="1" s="1"/>
  <c r="BQ56" i="1"/>
  <c r="BP56" i="1"/>
  <c r="BR56" i="1" s="1"/>
  <c r="BQ55" i="1"/>
  <c r="BP55" i="1"/>
  <c r="BR55" i="1" s="1"/>
  <c r="BQ54" i="1"/>
  <c r="BP54" i="1"/>
  <c r="BR54" i="1" s="1"/>
  <c r="BQ53" i="1"/>
  <c r="BP53" i="1"/>
  <c r="BR53" i="1" s="1"/>
  <c r="BQ52" i="1"/>
  <c r="BP52" i="1"/>
  <c r="BR52" i="1" s="1"/>
  <c r="BQ51" i="1"/>
  <c r="BP51" i="1"/>
  <c r="BR51" i="1" s="1"/>
  <c r="BQ50" i="1"/>
  <c r="BP50" i="1"/>
  <c r="BR50" i="1" s="1"/>
  <c r="BQ49" i="1"/>
  <c r="BP49" i="1"/>
  <c r="BR49" i="1" s="1"/>
  <c r="BQ48" i="1"/>
  <c r="BP48" i="1"/>
  <c r="BR48" i="1" s="1"/>
  <c r="BQ47" i="1"/>
  <c r="BP47" i="1"/>
  <c r="BR47" i="1" s="1"/>
  <c r="BQ46" i="1"/>
  <c r="BP46" i="1"/>
  <c r="BR46" i="1" s="1"/>
  <c r="BQ45" i="1"/>
  <c r="BP45" i="1"/>
  <c r="BR45" i="1" s="1"/>
  <c r="BQ44" i="1"/>
  <c r="BP44" i="1"/>
  <c r="BR44" i="1" s="1"/>
  <c r="BQ43" i="1"/>
  <c r="BP43" i="1"/>
  <c r="BR43" i="1" s="1"/>
  <c r="BQ42" i="1"/>
  <c r="BP42" i="1"/>
  <c r="BR42" i="1" s="1"/>
  <c r="BQ41" i="1"/>
  <c r="BP41" i="1"/>
  <c r="BR41" i="1" s="1"/>
  <c r="BQ40" i="1"/>
  <c r="BP40" i="1"/>
  <c r="BR40" i="1" s="1"/>
  <c r="BQ39" i="1"/>
  <c r="BP39" i="1"/>
  <c r="BR39" i="1" s="1"/>
  <c r="BQ38" i="1"/>
  <c r="BP38" i="1"/>
  <c r="BR38" i="1" s="1"/>
  <c r="BQ37" i="1"/>
  <c r="BP37" i="1"/>
  <c r="BR37" i="1" s="1"/>
  <c r="BQ36" i="1"/>
  <c r="BP36" i="1"/>
  <c r="BR36" i="1" s="1"/>
  <c r="BQ35" i="1"/>
  <c r="BP35" i="1"/>
  <c r="BR35" i="1" s="1"/>
  <c r="N35" i="1"/>
  <c r="BQ34" i="1"/>
  <c r="BP34" i="1"/>
  <c r="BR34" i="1" s="1"/>
  <c r="N34" i="1"/>
  <c r="BQ33" i="1"/>
  <c r="BP33" i="1"/>
  <c r="BR33" i="1" s="1"/>
  <c r="N33" i="1"/>
  <c r="BQ32" i="1"/>
  <c r="BP32" i="1"/>
  <c r="BR32" i="1" s="1"/>
  <c r="N32" i="1"/>
  <c r="BQ31" i="1"/>
  <c r="BP31" i="1"/>
  <c r="BR31" i="1" s="1"/>
  <c r="N31" i="1"/>
  <c r="BQ30" i="1"/>
  <c r="BP30" i="1"/>
  <c r="BR30" i="1" s="1"/>
  <c r="N30" i="1"/>
  <c r="BQ29" i="1"/>
  <c r="BP29" i="1"/>
  <c r="BR29" i="1" s="1"/>
  <c r="N29" i="1"/>
  <c r="BQ28" i="1"/>
  <c r="BP28" i="1"/>
  <c r="N28" i="1"/>
  <c r="BQ27" i="1"/>
  <c r="BP27" i="1"/>
  <c r="BR27" i="1" s="1"/>
  <c r="BQ26" i="1"/>
  <c r="BP26" i="1"/>
  <c r="BR26" i="1" s="1"/>
  <c r="N26" i="1"/>
  <c r="BQ25" i="1"/>
  <c r="BP25" i="1"/>
  <c r="BR25" i="1" s="1"/>
  <c r="N25" i="1"/>
  <c r="BQ24" i="1"/>
  <c r="BP24" i="1"/>
  <c r="N24" i="1"/>
  <c r="BQ23" i="1"/>
  <c r="BP23" i="1"/>
  <c r="BR23" i="1" s="1"/>
  <c r="N23" i="1"/>
  <c r="BQ22" i="1"/>
  <c r="BP22" i="1"/>
  <c r="BR22" i="1" s="1"/>
  <c r="N22" i="1"/>
  <c r="BQ21" i="1"/>
  <c r="BP21" i="1"/>
  <c r="N21" i="1"/>
  <c r="BQ20" i="1"/>
  <c r="BP20" i="1"/>
  <c r="BR20" i="1" s="1"/>
  <c r="N20" i="1"/>
  <c r="BQ19" i="1"/>
  <c r="BP19" i="1"/>
  <c r="BR19" i="1" s="1"/>
  <c r="N19" i="1"/>
  <c r="BQ18" i="1"/>
  <c r="BP18" i="1"/>
  <c r="N18" i="1"/>
  <c r="BQ17" i="1"/>
  <c r="BP17" i="1"/>
  <c r="BR17" i="1" s="1"/>
  <c r="BQ16" i="1"/>
  <c r="BP16" i="1"/>
  <c r="BR16" i="1" s="1"/>
  <c r="BQ15" i="1"/>
  <c r="BP15" i="1"/>
  <c r="BR15" i="1" s="1"/>
  <c r="N15" i="1"/>
  <c r="BQ14" i="1"/>
  <c r="BP14" i="1"/>
  <c r="BR14" i="1" s="1"/>
  <c r="N14" i="1"/>
  <c r="BQ13" i="1"/>
  <c r="BP13" i="1"/>
  <c r="BR13" i="1" s="1"/>
  <c r="N13" i="1"/>
  <c r="BQ12" i="1"/>
  <c r="BP12" i="1"/>
  <c r="BR12" i="1" s="1"/>
  <c r="N12" i="1"/>
  <c r="BQ11" i="1"/>
  <c r="BP11" i="1"/>
  <c r="BR11" i="1" s="1"/>
  <c r="N11" i="1"/>
  <c r="BQ10" i="1"/>
  <c r="BP10" i="1"/>
  <c r="BR10" i="1" s="1"/>
  <c r="N10" i="1"/>
  <c r="BQ9" i="1"/>
  <c r="BP9" i="1"/>
  <c r="BQ8" i="1"/>
  <c r="BR8" i="1" s="1"/>
  <c r="BP8" i="1"/>
  <c r="N8" i="1"/>
  <c r="BQ7" i="1"/>
  <c r="BP7" i="1"/>
  <c r="BQ6" i="1"/>
  <c r="BP6" i="1"/>
  <c r="BR6" i="1" s="1"/>
  <c r="BQ5" i="1"/>
  <c r="BP5" i="1"/>
  <c r="BR5" i="1" s="1"/>
  <c r="BQ4" i="1"/>
  <c r="BP4" i="1"/>
  <c r="BQ3" i="1"/>
  <c r="BP3" i="1"/>
  <c r="BQ2" i="1"/>
  <c r="BP2" i="1"/>
  <c r="BR2" i="1" s="1"/>
  <c r="BR7" i="1" l="1"/>
  <c r="BR18" i="1"/>
  <c r="BR28" i="1"/>
  <c r="BR21" i="1"/>
  <c r="BR3" i="1"/>
  <c r="BR24" i="1"/>
  <c r="BR4" i="1"/>
  <c r="BR9" i="1"/>
</calcChain>
</file>

<file path=xl/sharedStrings.xml><?xml version="1.0" encoding="utf-8"?>
<sst xmlns="http://schemas.openxmlformats.org/spreadsheetml/2006/main" count="1858" uniqueCount="338">
  <si>
    <t>S.No</t>
  </si>
  <si>
    <t>Source</t>
  </si>
  <si>
    <t xml:space="preserve">Operation Station </t>
  </si>
  <si>
    <t>Designation of the operation</t>
  </si>
  <si>
    <t>Concern Discerption [Mode of failure]</t>
  </si>
  <si>
    <t>Defect Rating (1/3/5)</t>
  </si>
  <si>
    <t>Reccurence</t>
  </si>
  <si>
    <t xml:space="preserve">Last 6 Weeks </t>
  </si>
  <si>
    <t xml:space="preserve">Last 5 Weeks </t>
  </si>
  <si>
    <t xml:space="preserve">Last 4 Weeks </t>
  </si>
  <si>
    <t>Last 3 Weeks</t>
  </si>
  <si>
    <t xml:space="preserve">Last 2 Weeks </t>
  </si>
  <si>
    <t>Last Week</t>
  </si>
  <si>
    <t>Reccurence Count+Defect Rating</t>
  </si>
  <si>
    <t>T10</t>
  </si>
  <si>
    <t>T20</t>
  </si>
  <si>
    <t>T30</t>
  </si>
  <si>
    <t>T40</t>
  </si>
  <si>
    <t>T50</t>
  </si>
  <si>
    <t>T60</t>
  </si>
  <si>
    <t>T70</t>
  </si>
  <si>
    <t>T90</t>
  </si>
  <si>
    <t>T100</t>
  </si>
  <si>
    <t>TPQG</t>
  </si>
  <si>
    <t>C10</t>
  </si>
  <si>
    <t>C20</t>
  </si>
  <si>
    <t>C30</t>
  </si>
  <si>
    <t>C40</t>
  </si>
  <si>
    <t>C45</t>
  </si>
  <si>
    <t>P10</t>
  </si>
  <si>
    <t>P20</t>
  </si>
  <si>
    <t>P30</t>
  </si>
  <si>
    <t>C50</t>
  </si>
  <si>
    <t>C60</t>
  </si>
  <si>
    <t>C70</t>
  </si>
  <si>
    <t>R/Sub</t>
  </si>
  <si>
    <t>T/S</t>
  </si>
  <si>
    <t>C80</t>
  </si>
  <si>
    <t xml:space="preserve">C PQG </t>
  </si>
  <si>
    <t>F10</t>
  </si>
  <si>
    <t>F20</t>
  </si>
  <si>
    <t>F30</t>
  </si>
  <si>
    <t>F40</t>
  </si>
  <si>
    <t>F50</t>
  </si>
  <si>
    <t>F60</t>
  </si>
  <si>
    <t>F70</t>
  </si>
  <si>
    <t>F80</t>
  </si>
  <si>
    <t>F90</t>
  </si>
  <si>
    <t>F100</t>
  </si>
  <si>
    <t>FPQG</t>
  </si>
  <si>
    <t>Residual Torque</t>
  </si>
  <si>
    <t xml:space="preserve">1.1: Frequency Control </t>
  </si>
  <si>
    <t xml:space="preserve">1.2:Visual Control </t>
  </si>
  <si>
    <t>1.3:Periodic audit Process monitoring</t>
  </si>
  <si>
    <t xml:space="preserve">1.4:100% Human Control without tracking </t>
  </si>
  <si>
    <t xml:space="preserve">3.1:SAE(Error Proofing) alert </t>
  </si>
  <si>
    <t>3.2:Frequency control (Measurements)</t>
  </si>
  <si>
    <t xml:space="preserve">3.3:100% Manual control in the line with tool </t>
  </si>
  <si>
    <t xml:space="preserve">3.4:100% human control with tracking </t>
  </si>
  <si>
    <t xml:space="preserve">5.1:100% automatic control </t>
  </si>
  <si>
    <t xml:space="preserve">5.2:Impossibility of assembly or subsequent machining </t>
  </si>
  <si>
    <t xml:space="preserve">5.3:SAE(Error proofing) Prohibition </t>
  </si>
  <si>
    <t>CVT</t>
  </si>
  <si>
    <t>SHOWER</t>
  </si>
  <si>
    <t>Dynamic/ UB</t>
  </si>
  <si>
    <t>CC4</t>
  </si>
  <si>
    <t xml:space="preserve">MFG </t>
  </si>
  <si>
    <t xml:space="preserve">Quality </t>
  </si>
  <si>
    <t xml:space="preserve">Plant </t>
  </si>
  <si>
    <t>Wokstation</t>
  </si>
  <si>
    <t>Plant</t>
  </si>
  <si>
    <t xml:space="preserve">MFG Action </t>
  </si>
  <si>
    <t xml:space="preserve">Resp </t>
  </si>
  <si>
    <t>Target</t>
  </si>
  <si>
    <t xml:space="preserve">Field </t>
  </si>
  <si>
    <t xml:space="preserve">Chassis </t>
  </si>
  <si>
    <t xml:space="preserve">FR RH Brake locked - Brake switch assy failure </t>
  </si>
  <si>
    <t>NG</t>
  </si>
  <si>
    <t>OK</t>
  </si>
  <si>
    <t>Bala</t>
  </si>
  <si>
    <t>TBC</t>
  </si>
  <si>
    <t xml:space="preserve">Final </t>
  </si>
  <si>
    <t>EC Battery negative terminal insecure</t>
  </si>
  <si>
    <t xml:space="preserve">RC process added </t>
  </si>
  <si>
    <t>SCA</t>
  </si>
  <si>
    <t>RR coil spring spec error</t>
  </si>
  <si>
    <t>Dhakshna</t>
  </si>
  <si>
    <t>WK05</t>
  </si>
  <si>
    <t>T80</t>
  </si>
  <si>
    <t>Trim</t>
  </si>
  <si>
    <t>ST RHF Seat belt bottom mounting incorrectly fitted</t>
  </si>
  <si>
    <t xml:space="preserve">Same stataion orientation confirmation marking and RC process available </t>
  </si>
  <si>
    <t>DVX</t>
  </si>
  <si>
    <t>E/C Fuel inlet &amp; outlet not lock</t>
  </si>
  <si>
    <t>Marking process added after connection</t>
  </si>
  <si>
    <t>FR wiper not working</t>
  </si>
  <si>
    <t xml:space="preserve">Function check to be added in PQG </t>
  </si>
  <si>
    <t xml:space="preserve">ST 2nd Row seat not lock [Pull check and mark process added] </t>
  </si>
  <si>
    <t xml:space="preserve">Neigbour check point addition </t>
  </si>
  <si>
    <t xml:space="preserve">ST Front wiper blade Noise </t>
  </si>
  <si>
    <t xml:space="preserve"> </t>
  </si>
  <si>
    <t xml:space="preserve">F50 </t>
  </si>
  <si>
    <t>ST VIN lable non conformity-Windshield vin plate incorrectly printed</t>
  </si>
  <si>
    <t xml:space="preserve">VIN number assy position mark avaiable at dash panel [Body position need to be confirm- WK23] </t>
  </si>
  <si>
    <t xml:space="preserve">Spindle bolt missing </t>
  </si>
  <si>
    <t xml:space="preserve">OK </t>
  </si>
  <si>
    <t>DC tool available</t>
  </si>
  <si>
    <t>ST A/C Heat knop malfunction-mode adjuster malfunction</t>
  </si>
  <si>
    <t xml:space="preserve">Hand brake boot damage </t>
  </si>
  <si>
    <t xml:space="preserve">Check point added </t>
  </si>
  <si>
    <t>F110</t>
  </si>
  <si>
    <t>Paint poor apperance [All over body]</t>
  </si>
  <si>
    <t>VCM quality gate check point added</t>
  </si>
  <si>
    <t xml:space="preserve">Wheel Hub cap Wrong Part Fitted </t>
  </si>
  <si>
    <t xml:space="preserve">Interchange poka yoke available </t>
  </si>
  <si>
    <t>Chassis</t>
  </si>
  <si>
    <t xml:space="preserve">Head lamp adjuster not working </t>
  </si>
  <si>
    <t>ST LHR Power window noise</t>
  </si>
  <si>
    <t>Function check to be added in  POF</t>
  </si>
  <si>
    <t xml:space="preserve">Wheel cover spec error </t>
  </si>
  <si>
    <t>Check point added in PQG</t>
  </si>
  <si>
    <t xml:space="preserve">U/B Fuel tank damage [Tracebility Part] </t>
  </si>
  <si>
    <t xml:space="preserve">Check point added in assy process and traceability part </t>
  </si>
  <si>
    <t xml:space="preserve">Stab lik rod spec error </t>
  </si>
  <si>
    <t xml:space="preserve">Common part adopted </t>
  </si>
  <si>
    <t xml:space="preserve">Drive shaft seal damge </t>
  </si>
  <si>
    <t xml:space="preserve">Blue tool added for process assy </t>
  </si>
  <si>
    <t xml:space="preserve">Hub nut loose [Bearing noise] </t>
  </si>
  <si>
    <t xml:space="preserve">2nd Seat spec error </t>
  </si>
  <si>
    <t xml:space="preserve"> PQG check point added in final / trim  </t>
  </si>
  <si>
    <t xml:space="preserve">Bumper colour mismatch </t>
  </si>
  <si>
    <t xml:space="preserve">DFT check point available in weekly measurement </t>
  </si>
  <si>
    <t xml:space="preserve">F40 </t>
  </si>
  <si>
    <t xml:space="preserve">FR W/S and T/G water entry </t>
  </si>
  <si>
    <t xml:space="preserve">TPM check and JES updated sealant W/H qty expiry date monitoring </t>
  </si>
  <si>
    <t>EC Main harness wrong rooting</t>
  </si>
  <si>
    <t xml:space="preserve">JES check point added for proper routing </t>
  </si>
  <si>
    <t>Fuel Door- Spring Missing</t>
  </si>
  <si>
    <t xml:space="preserve">After locking inspection available </t>
  </si>
  <si>
    <t>AC cut off _ evaporator harness pinch with HAVC earth hardware</t>
  </si>
  <si>
    <t>Poka Yoke_ RFID Implementation - WK12</t>
  </si>
  <si>
    <t>WK12</t>
  </si>
  <si>
    <t>ST RHR Grab handle mounting screw cap not locked-insecure</t>
  </si>
  <si>
    <t xml:space="preserve">Centre facia part incorrect fitment </t>
  </si>
  <si>
    <t>FR LH Door Seal Defromation</t>
  </si>
  <si>
    <t>Door bump stopper miss</t>
  </si>
  <si>
    <t xml:space="preserve">DVX </t>
  </si>
  <si>
    <t>ST Tailgate transfer trim snap miss-ST Tailgate trim screw insecure</t>
  </si>
  <si>
    <t xml:space="preserve">AC gass QTY low - AC low cooling </t>
  </si>
  <si>
    <t xml:space="preserve">AC filling data storage and line stop interlock avaiable </t>
  </si>
  <si>
    <t>EC head lamp wire not snap-HLLD cable cromate not lock</t>
  </si>
  <si>
    <t>PQG check point addition</t>
  </si>
  <si>
    <t xml:space="preserve">AC no cooling [Terminal cut] </t>
  </si>
  <si>
    <t>Seat bolt miss</t>
  </si>
  <si>
    <t xml:space="preserve">Ok </t>
  </si>
  <si>
    <t xml:space="preserve">After locking marking process added </t>
  </si>
  <si>
    <t xml:space="preserve">Center Lock malfunction [Function check _PQG] </t>
  </si>
  <si>
    <t>Function check need to be add in final PQG</t>
  </si>
  <si>
    <t xml:space="preserve">Transmission oil leak </t>
  </si>
  <si>
    <t>LCA bolt spiining</t>
  </si>
  <si>
    <t>A/c cut off - Evaporator harness pinch with HVAC earth hardware</t>
  </si>
  <si>
    <t xml:space="preserve">After tightening marking process added and neigbour check point added </t>
  </si>
  <si>
    <t xml:space="preserve">Door glass water leak [Roller process addition] </t>
  </si>
  <si>
    <t xml:space="preserve">Roller process added </t>
  </si>
  <si>
    <t>Airbag indication continous glow</t>
  </si>
  <si>
    <t>All airbag connections marking process to be add</t>
  </si>
  <si>
    <t>AC Blower Failure</t>
  </si>
  <si>
    <t xml:space="preserve">Final PQG check point available </t>
  </si>
  <si>
    <t>A/C BLOWER FACE &amp; LEG MODE ON TIME BLOWER ABNORMAL NOISE</t>
  </si>
  <si>
    <t>Power Windpow not fully up</t>
  </si>
  <si>
    <t>JES modification to lift the glass 100% 
to ensure the glass up condition fully in assy station</t>
  </si>
  <si>
    <t xml:space="preserve">Head lamp not working _ Connector partial connected </t>
  </si>
  <si>
    <t>Transmission bolt miss</t>
  </si>
  <si>
    <t>ER4</t>
  </si>
  <si>
    <t>TRIM</t>
  </si>
  <si>
    <t>SET-BRAKE BOOSTER ON DASH PANEL</t>
  </si>
  <si>
    <t>WK07</t>
  </si>
  <si>
    <t>SET - BRAKE PEDAL BOX ASSY</t>
  </si>
  <si>
    <t>Ramkumar</t>
  </si>
  <si>
    <t>SET - ACC. PEDAL ASSY</t>
  </si>
  <si>
    <t>SET - AIRBAG-ECU</t>
  </si>
  <si>
    <t>SET-FR DOOR LATCH_LH</t>
  </si>
  <si>
    <t>SET-FR DOOR LATCH_RH</t>
  </si>
  <si>
    <t>SET-RR DOOR LATCH_RH</t>
  </si>
  <si>
    <t>SET-RR DOOR LATCH_LH</t>
  </si>
  <si>
    <t>SET-ABS UNIT WITH BRACKET</t>
  </si>
  <si>
    <t>SET-ABS UNIT</t>
  </si>
  <si>
    <t>T50E</t>
  </si>
  <si>
    <t>SET - BRAKE PIPE SECONDARY TO ABS UNIT</t>
  </si>
  <si>
    <t>Additional check point need to add</t>
  </si>
  <si>
    <t>SET - BRAKE PIPE PRIMARY TO ABS UNIT</t>
  </si>
  <si>
    <t>SET- PRIMARY_SECONDARY PIPE TO BRAKE BOOSTER</t>
  </si>
  <si>
    <t>RC_SET-FRT_SEAT_BELT_ASSY_WO_PRE_TENS_LH</t>
  </si>
  <si>
    <t>RC_SET_-_FRT_SEAT_BELT_ASSY_WO_PRE_TENS_RH</t>
  </si>
  <si>
    <t>SET - RR SEAT BELT ASSY_LH</t>
  </si>
  <si>
    <t>SET - RR SEAT BELT ASSY_RH</t>
  </si>
  <si>
    <t xml:space="preserve">T30 </t>
  </si>
  <si>
    <t>SET - HOOD LATCH</t>
  </si>
  <si>
    <t>SET - WIPER MOTOR  LINKAGE ASSEMBLY</t>
  </si>
  <si>
    <t>FINAL</t>
  </si>
  <si>
    <t>SET-TAIL GATE  STRIKER ADJUSTMENT</t>
  </si>
  <si>
    <t>SET-FR DOOR STRIKER ADJUSTMENT RH</t>
  </si>
  <si>
    <t>SET-FR DOOR STRIKER ADJUSTMENT LH</t>
  </si>
  <si>
    <t>SET-RR DOOR STRIKER ADJUSTMENT RH</t>
  </si>
  <si>
    <t>SET-RR DOOR STRIKER ADJUSTMENT LH</t>
  </si>
  <si>
    <t>FIX-FRONT STRUT ASSY TO BIW</t>
  </si>
  <si>
    <t>P30 / C60</t>
  </si>
  <si>
    <t>SET-FR HUB NUT</t>
  </si>
  <si>
    <t>SET-HAND BRAKE</t>
  </si>
  <si>
    <t>CONNECT THE PKB CABLE WITH MASTER CABLE</t>
  </si>
  <si>
    <t>SETTING LH RR SEAT BUCKLE ON BIW</t>
  </si>
  <si>
    <t>SETTING RH RR SEAT BUCKLE ON BIW</t>
  </si>
  <si>
    <t>SET-FR SEAT LH</t>
  </si>
  <si>
    <t>SET-FR SEAT RH</t>
  </si>
  <si>
    <t>SET-WIPER BLADE ASSY</t>
  </si>
  <si>
    <t>SET-STEERING WHEEL</t>
  </si>
  <si>
    <t>SET-RR SEAT CUSHION LH TIGHTENING</t>
  </si>
  <si>
    <t>SET-RR SEAT CUSHION RH TIGHTENING</t>
  </si>
  <si>
    <t>SET-PASS AIRBAG</t>
  </si>
  <si>
    <t>SET-FR TYRE ASSY</t>
  </si>
  <si>
    <t>SET-RR TYRE ASSY</t>
  </si>
  <si>
    <t>RC-FIX RR LH SEAT BELT IN QTR UPR TRIM</t>
  </si>
  <si>
    <t>RC-FIX RR LH SEAT BELT IN QTR LWR TRIM</t>
  </si>
  <si>
    <t>RC-FIX RR RH SEAT BELT IN QTR UPR TRIM</t>
  </si>
  <si>
    <t>RC-FIX RR RH SEAT BELT IN QTR LWR TRIM</t>
  </si>
  <si>
    <t>SET -TAILGATE LATCH</t>
  </si>
  <si>
    <t>CHASSIS</t>
  </si>
  <si>
    <t>SET - RR BRAKE TUBE LH TO ABS</t>
  </si>
  <si>
    <t xml:space="preserve">Hiden Joint [DC tool adoption in progress] </t>
  </si>
  <si>
    <t>10'Feb</t>
  </si>
  <si>
    <t>SET - RR BRAKE TUBE RH TO ABS</t>
  </si>
  <si>
    <t>SET - FR BRAKE TUBE LH TO ABS</t>
  </si>
  <si>
    <t>SET - FR BRAKE TUBE RH TO ABS</t>
  </si>
  <si>
    <t>SET-BATTERY P5 BRACKET TO BATTERY RH</t>
  </si>
  <si>
    <t>SET-BATTERY P5 BRACKET TO BATTERY LH</t>
  </si>
  <si>
    <t>HV BATTERY TO BIW RH</t>
  </si>
  <si>
    <t>HV BATTERY TO BIW LH</t>
  </si>
  <si>
    <t>REAR LH SHOCK TO BIW</t>
  </si>
  <si>
    <t>SET - ANTIROLL BAR</t>
  </si>
  <si>
    <t>FRONT BRAKE FLEX HOSE TO CALIPER LH</t>
  </si>
  <si>
    <t>FRONT BRAKE FLEX HOSE TO CALIPER RH</t>
  </si>
  <si>
    <t>CORNER MODULE TO LCA LH</t>
  </si>
  <si>
    <t>CORNER MODULE TO LCA RH</t>
  </si>
  <si>
    <t>CORNER MODULE TO STEERING ROD LH</t>
  </si>
  <si>
    <t>CORNER MODULE TO STEERING ROD RH</t>
  </si>
  <si>
    <t>LCA TO CRADLE LH</t>
  </si>
  <si>
    <t>LCA TO CRADLE RH</t>
  </si>
  <si>
    <t>BRAKE CALIPER TO KNUCKLE LH</t>
  </si>
  <si>
    <t>BRAKE CALIPER TO KNUCKLE RH</t>
  </si>
  <si>
    <t>SET - STABILIZER LINK ROD TO RTB</t>
  </si>
  <si>
    <t>SET- TORQUE ROD TO CRADDLE</t>
  </si>
  <si>
    <t>SET-FRNT UNIT TO BODY(FRONT)</t>
  </si>
  <si>
    <t>SET-FRNT UNIT TO BODY(REAR)</t>
  </si>
  <si>
    <t>FRONT SUSPENSION STRUT TO KNUCKLE LH</t>
  </si>
  <si>
    <t>FRONT SUSPENSION STRUT TO KNUCKLE RH</t>
  </si>
  <si>
    <t>FRONT FLEX HOSE TO BRAKE TUBE LH</t>
  </si>
  <si>
    <t>FRONT FLEX HOSE TO BRAKE TUBE RH</t>
  </si>
  <si>
    <t>STABILIZER LINK ROD TO SUSPENSION STRUT LH</t>
  </si>
  <si>
    <t>STABILIZER LINK ROD TO SUSPENSION STRUT RH</t>
  </si>
  <si>
    <t>R10</t>
  </si>
  <si>
    <t>REAR BRAKE FLEX HOSE TO AXLE LH</t>
  </si>
  <si>
    <t>REAR BRAKE FLEX HOSE TO AXLE RH</t>
  </si>
  <si>
    <t>WK08</t>
  </si>
  <si>
    <t>SET-RR AXLE UNIT TO BIW</t>
  </si>
  <si>
    <t>SET-RR AXLE UNIT TO RR SHOCK ABSORBER LH</t>
  </si>
  <si>
    <t>SET-RR AXLE UNIT TO RR SHOCK ABSORBER RH</t>
  </si>
  <si>
    <t>SET-RTB MOUNTING BRACKET LH</t>
  </si>
  <si>
    <t>SET-RTB MOUNTING BRACKET RH</t>
  </si>
  <si>
    <t>PRESS</t>
  </si>
  <si>
    <t>FRONT DISC TO KNUCKLE LH</t>
  </si>
  <si>
    <t>WK09</t>
  </si>
  <si>
    <t>FRONT DISC TO KNUCKLE RH</t>
  </si>
  <si>
    <t>ER3</t>
  </si>
  <si>
    <t>EARTHING ON CABIN</t>
  </si>
  <si>
    <t xml:space="preserve">Residual Torque Monitoring </t>
  </si>
  <si>
    <t>WK06</t>
  </si>
  <si>
    <t>SET-RR HUB NUT RH /LH</t>
  </si>
  <si>
    <t>SET - REAR BRAKE TUBE ON BRAKE PLATE</t>
  </si>
  <si>
    <t>SET - EARTHING ON BIW</t>
  </si>
  <si>
    <t>SET - EARTHING ON FR RH A PILLAR PANEL</t>
  </si>
  <si>
    <t>SET - EARTHING ON CCB</t>
  </si>
  <si>
    <t>SET - STEERING COLUMN</t>
  </si>
  <si>
    <t>AC PIPE LINE WITH HVAC</t>
  </si>
  <si>
    <t xml:space="preserve">T20 </t>
  </si>
  <si>
    <t>SET -ENGINE FUSE BOX BRACKET</t>
  </si>
  <si>
    <t>SET -WIPER MOTOR ASSEMBLY TO COWL PANEL</t>
  </si>
  <si>
    <t>FIX-STRG LWR JOINT</t>
  </si>
  <si>
    <t>SET - FR GSAT SENSOR</t>
  </si>
  <si>
    <t>CONN- BATTERY NEGATIVE TERIMINAL</t>
  </si>
  <si>
    <t>CONN- BATTERY POSITIVE TERIMINAL</t>
  </si>
  <si>
    <t>SET-BECB SENSOR</t>
  </si>
  <si>
    <t>SET-BFT SENSOR</t>
  </si>
  <si>
    <t>S/A - VACCUM PUMP  TO VACCUM PUMP LWR BRACKET</t>
  </si>
  <si>
    <t>S/A - VACCUM PUMP LWR BRKT  TO VACCUM PUMP UPPR BRACKET</t>
  </si>
  <si>
    <t>SET - LH BODY SUPPORT BRKT</t>
  </si>
  <si>
    <t>SET - LH-TRANSMISSION MOUNT TO TRANSMISSION</t>
  </si>
  <si>
    <t>SET -  CROSS FRAME TO MOUNT</t>
  </si>
  <si>
    <t xml:space="preserve">EV Variant </t>
  </si>
  <si>
    <t>SET - PDU TO CROSS FRAME</t>
  </si>
  <si>
    <t>SET - eCOMPRESSOR ON LH TRANSMISSION MOUNT</t>
  </si>
  <si>
    <t>SET - DC DC CONVERTER TO CROSS FRAME</t>
  </si>
  <si>
    <t>SET - DISCHARGE  LINE TO COMPRESSOR</t>
  </si>
  <si>
    <t>SET - e MOTOR Mount RH SIDE</t>
  </si>
  <si>
    <t>SET - SUCTION LINE TO COMPRESSOR</t>
  </si>
  <si>
    <t>SET - BATTERY POSITIVE CABLE TO DC DC CONVERTER</t>
  </si>
  <si>
    <t>SET-HV EARTH STRAP (CHASSIS)TO CROSSFRAME</t>
  </si>
  <si>
    <t>SET-HV EARTH STRAP TO CROSSFRAME</t>
  </si>
  <si>
    <t>SET-HV EARTH STRAP TO COMPONENTS(MOTOR)</t>
  </si>
  <si>
    <t>SET-HV EARTH STRAP TO COMPONENTS(PDU)</t>
  </si>
  <si>
    <t>SET-HV EARTH STRAP TO COMPONENTS(PDU) TO CROSSFRAME</t>
  </si>
  <si>
    <t>SET-HV EARTH STRAP TO COMPONENTS(DCDC)</t>
  </si>
  <si>
    <t>SET-HV EARTH STRAP TO COMPONENTS(DCDC) TO CROSSFRAME</t>
  </si>
  <si>
    <t xml:space="preserve">SET-LV HARNESS EARTH MOUNTING </t>
  </si>
  <si>
    <t>SET - VACCUM PUMP BRACKET TO CROSS FRAME</t>
  </si>
  <si>
    <t>STEERING RACK ASSY TO CRADLE LH</t>
  </si>
  <si>
    <t>STEERING RACK ASSY TO CRADLE RH</t>
  </si>
  <si>
    <t>FRONT WHEEL SPEED SENSOR TO KNUCKLE LH</t>
  </si>
  <si>
    <t>SET - Torque Rod- Transmission bracket</t>
  </si>
  <si>
    <t>SET-TORQUR BRACKET TO TORQUE ROD</t>
  </si>
  <si>
    <t>SET-MOUNT LH BODY TO CROSSFRAME</t>
  </si>
  <si>
    <t>SET-MOUNT RH BODY TO CROSSFRAME</t>
  </si>
  <si>
    <t>SET-RH BODY MOUNT TO BIW</t>
  </si>
  <si>
    <t>SET-NEGATIVE CABLE ON CROSSFRAME</t>
  </si>
  <si>
    <t>SET - ENERGY ABSORBER LH</t>
  </si>
  <si>
    <t>SET - ENERGY ABSORBER RH</t>
  </si>
  <si>
    <t>SET-BATTERY HV EARTH TO BIW</t>
  </si>
  <si>
    <t>SET-GOVERNOR LINE TO REFRIGERANT LINE</t>
  </si>
  <si>
    <t>SUB ASSY ECU AND BATTERY TRAY ASSY-TURBO</t>
  </si>
  <si>
    <t>SET-NEGATIVE CABLE ON BIW</t>
  </si>
  <si>
    <t>SET-LOWER LEG CATCHER LH</t>
  </si>
  <si>
    <t>SET-LOWER LEG CATCHER RH</t>
  </si>
  <si>
    <t>SET-HV EARTH STRAP(CHASSIS) ON BIW</t>
  </si>
  <si>
    <t xml:space="preserve">C50 </t>
  </si>
  <si>
    <t>SET - CCS2 CHARGING CONNECTOR</t>
  </si>
  <si>
    <t>REAR SPINDLE WITH BACK PLATE TO AXLE LH</t>
  </si>
  <si>
    <t>REAR SPINDLE WITH BACK PLATE TO AXLE RH</t>
  </si>
  <si>
    <t>SET - WHEEL SPEED SENSOR ON RR RH AXLE</t>
  </si>
  <si>
    <t>SET BATTERY TRAY ON B MOUNT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</si>
</sst>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Encode Sans"/>
    </font>
    <font>
      <sz val="8"/>
      <color theme="1"/>
      <name val="Encode Sans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Abadi"/>
      <family val="2"/>
    </font>
    <font>
      <sz val="8"/>
      <color rgb="FF000000"/>
      <name val="Abadi"/>
      <family val="2"/>
    </font>
    <font>
      <sz val="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91">
    <xf numFmtId="0" fontId="0" fillId="0" borderId="0" xfId="0"/>
    <xf numFmtId="0" fontId="18" fillId="0" borderId="10" xfId="0" applyFont="1" applyBorder="1" applyAlignment="1">
      <alignment horizontal="center" vertical="center" textRotation="90"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textRotation="90"/>
    </xf>
    <xf numFmtId="0" fontId="19" fillId="0" borderId="0" xfId="0" applyFont="1"/>
    <xf numFmtId="0" fontId="18" fillId="0" borderId="14" xfId="42" applyFont="1" applyBorder="1" applyAlignment="1" applyProtection="1">
      <alignment horizontal="center" vertical="center" textRotation="90" wrapText="1"/>
      <protection locked="0"/>
    </xf>
    <xf numFmtId="0" fontId="18" fillId="34" borderId="14" xfId="42" applyFont="1" applyFill="1" applyBorder="1" applyAlignment="1" applyProtection="1">
      <alignment horizontal="center" vertical="center" textRotation="90" wrapText="1"/>
      <protection locked="0"/>
    </xf>
    <xf numFmtId="0" fontId="18" fillId="35" borderId="14" xfId="42" applyFont="1" applyFill="1" applyBorder="1" applyAlignment="1" applyProtection="1">
      <alignment horizontal="center" vertical="center" textRotation="90" wrapText="1"/>
      <protection locked="0"/>
    </xf>
    <xf numFmtId="0" fontId="18" fillId="0" borderId="14" xfId="0" applyFont="1" applyBorder="1" applyAlignment="1">
      <alignment horizontal="center" textRotation="90" wrapText="1"/>
    </xf>
    <xf numFmtId="0" fontId="18" fillId="35" borderId="14" xfId="0" applyFont="1" applyFill="1" applyBorder="1" applyAlignment="1">
      <alignment horizontal="center" textRotation="90" wrapText="1"/>
    </xf>
    <xf numFmtId="0" fontId="18" fillId="33" borderId="14" xfId="42" applyFont="1" applyFill="1" applyBorder="1" applyAlignment="1" applyProtection="1">
      <alignment horizontal="center" vertical="center" textRotation="90" wrapText="1"/>
      <protection locked="0"/>
    </xf>
    <xf numFmtId="0" fontId="18" fillId="0" borderId="11" xfId="42" applyFont="1" applyBorder="1" applyAlignment="1" applyProtection="1">
      <alignment horizontal="center" vertical="center" textRotation="90" wrapText="1"/>
      <protection locked="0"/>
    </xf>
    <xf numFmtId="0" fontId="18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center" wrapText="1" readingOrder="1"/>
    </xf>
    <xf numFmtId="0" fontId="22" fillId="0" borderId="15" xfId="0" applyFont="1" applyBorder="1" applyAlignment="1">
      <alignment horizontal="center" wrapText="1" readingOrder="1"/>
    </xf>
    <xf numFmtId="0" fontId="22" fillId="0" borderId="15" xfId="0" applyFont="1" applyBorder="1" applyAlignment="1">
      <alignment horizontal="center" vertical="center"/>
    </xf>
    <xf numFmtId="0" fontId="22" fillId="36" borderId="15" xfId="0" applyFont="1" applyFill="1" applyBorder="1" applyAlignment="1">
      <alignment horizontal="center" vertical="center"/>
    </xf>
    <xf numFmtId="0" fontId="24" fillId="0" borderId="0" xfId="0" applyFont="1"/>
    <xf numFmtId="0" fontId="22" fillId="33" borderId="15" xfId="0" applyFont="1" applyFill="1" applyBorder="1" applyAlignment="1">
      <alignment horizontal="center" vertical="center"/>
    </xf>
    <xf numFmtId="0" fontId="22" fillId="37" borderId="15" xfId="0" applyFont="1" applyFill="1" applyBorder="1" applyAlignment="1">
      <alignment horizontal="center"/>
    </xf>
    <xf numFmtId="0" fontId="22" fillId="38" borderId="16" xfId="0" applyFont="1" applyFill="1" applyBorder="1" applyAlignment="1">
      <alignment horizontal="center"/>
    </xf>
    <xf numFmtId="0" fontId="22" fillId="0" borderId="14" xfId="0" applyFont="1" applyBorder="1" applyAlignment="1">
      <alignment horizontal="left" wrapText="1"/>
    </xf>
    <xf numFmtId="0" fontId="19" fillId="0" borderId="14" xfId="0" applyFont="1" applyBorder="1"/>
    <xf numFmtId="0" fontId="22" fillId="38" borderId="15" xfId="0" applyFont="1" applyFill="1" applyBorder="1" applyAlignment="1">
      <alignment horizontal="center"/>
    </xf>
    <xf numFmtId="0" fontId="22" fillId="39" borderId="15" xfId="0" applyFont="1" applyFill="1" applyBorder="1" applyAlignment="1">
      <alignment horizontal="center" vertical="center"/>
    </xf>
    <xf numFmtId="0" fontId="22" fillId="38" borderId="14" xfId="0" applyFont="1" applyFill="1" applyBorder="1" applyAlignment="1">
      <alignment horizontal="center"/>
    </xf>
    <xf numFmtId="0" fontId="22" fillId="38" borderId="11" xfId="0" applyFont="1" applyFill="1" applyBorder="1" applyAlignment="1">
      <alignment horizontal="center"/>
    </xf>
    <xf numFmtId="0" fontId="22" fillId="0" borderId="14" xfId="0" applyFont="1" applyBorder="1"/>
    <xf numFmtId="0" fontId="22" fillId="0" borderId="15" xfId="0" applyFont="1" applyBorder="1" applyAlignment="1">
      <alignment horizontal="center" vertical="center" wrapText="1" readingOrder="1"/>
    </xf>
    <xf numFmtId="0" fontId="22" fillId="39" borderId="15" xfId="0" applyFont="1" applyFill="1" applyBorder="1" applyAlignment="1">
      <alignment horizontal="center" vertical="center" wrapText="1" readingOrder="1"/>
    </xf>
    <xf numFmtId="0" fontId="19" fillId="0" borderId="15" xfId="0" applyFont="1" applyBorder="1"/>
    <xf numFmtId="0" fontId="22" fillId="36" borderId="15" xfId="0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left" vertical="center"/>
    </xf>
    <xf numFmtId="0" fontId="22" fillId="38" borderId="15" xfId="0" applyFont="1" applyFill="1" applyBorder="1" applyAlignment="1">
      <alignment horizontal="center" vertical="center"/>
    </xf>
    <xf numFmtId="0" fontId="22" fillId="38" borderId="1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 readingOrder="1"/>
    </xf>
    <xf numFmtId="0" fontId="22" fillId="0" borderId="14" xfId="0" applyFont="1" applyBorder="1" applyAlignment="1">
      <alignment horizontal="left" vertical="center" wrapText="1"/>
    </xf>
    <xf numFmtId="0" fontId="22" fillId="40" borderId="14" xfId="0" applyFont="1" applyFill="1" applyBorder="1" applyAlignment="1">
      <alignment horizontal="left" vertical="center" wrapText="1"/>
    </xf>
    <xf numFmtId="0" fontId="22" fillId="41" borderId="14" xfId="0" applyFont="1" applyFill="1" applyBorder="1" applyAlignment="1">
      <alignment horizontal="left" wrapText="1"/>
    </xf>
    <xf numFmtId="0" fontId="22" fillId="0" borderId="14" xfId="0" applyFont="1" applyBorder="1" applyAlignment="1">
      <alignment horizontal="left" vertical="center"/>
    </xf>
    <xf numFmtId="0" fontId="22" fillId="36" borderId="15" xfId="0" applyFont="1" applyFill="1" applyBorder="1" applyAlignment="1">
      <alignment horizontal="center"/>
    </xf>
    <xf numFmtId="0" fontId="22" fillId="0" borderId="0" xfId="0" applyFont="1"/>
    <xf numFmtId="0" fontId="22" fillId="39" borderId="15" xfId="0" applyFont="1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center" vertical="center" wrapText="1" readingOrder="1"/>
    </xf>
    <xf numFmtId="0" fontId="22" fillId="0" borderId="13" xfId="0" applyFont="1" applyBorder="1" applyAlignment="1">
      <alignment horizontal="center" vertical="center" wrapText="1" readingOrder="1"/>
    </xf>
    <xf numFmtId="0" fontId="22" fillId="33" borderId="13" xfId="0" applyFont="1" applyFill="1" applyBorder="1" applyAlignment="1">
      <alignment horizontal="center" vertical="center"/>
    </xf>
    <xf numFmtId="0" fontId="22" fillId="38" borderId="13" xfId="0" applyFont="1" applyFill="1" applyBorder="1" applyAlignment="1">
      <alignment horizontal="center"/>
    </xf>
    <xf numFmtId="0" fontId="22" fillId="38" borderId="19" xfId="0" applyFont="1" applyFill="1" applyBorder="1" applyAlignment="1">
      <alignment horizontal="center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 readingOrder="1"/>
    </xf>
    <xf numFmtId="0" fontId="22" fillId="0" borderId="14" xfId="0" applyFont="1" applyBorder="1" applyAlignment="1">
      <alignment horizontal="center" vertical="center" wrapText="1" readingOrder="1"/>
    </xf>
    <xf numFmtId="0" fontId="22" fillId="36" borderId="14" xfId="0" applyFont="1" applyFill="1" applyBorder="1" applyAlignment="1">
      <alignment horizontal="center"/>
    </xf>
    <xf numFmtId="0" fontId="22" fillId="33" borderId="14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wrapText="1" readingOrder="1"/>
    </xf>
    <xf numFmtId="0" fontId="22" fillId="0" borderId="14" xfId="0" applyFont="1" applyBorder="1" applyAlignment="1">
      <alignment horizontal="center" wrapText="1" readingOrder="1"/>
    </xf>
    <xf numFmtId="0" fontId="23" fillId="0" borderId="12" xfId="0" applyFont="1" applyBorder="1" applyAlignment="1">
      <alignment horizontal="center" wrapText="1" readingOrder="1"/>
    </xf>
    <xf numFmtId="0" fontId="22" fillId="39" borderId="14" xfId="0" applyFont="1" applyFill="1" applyBorder="1" applyAlignment="1">
      <alignment horizontal="center" vertical="center" wrapText="1" readingOrder="1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 wrapText="1" readingOrder="1"/>
    </xf>
    <xf numFmtId="0" fontId="22" fillId="38" borderId="14" xfId="0" applyFont="1" applyFill="1" applyBorder="1" applyAlignment="1">
      <alignment horizontal="center" vertical="center"/>
    </xf>
    <xf numFmtId="0" fontId="22" fillId="38" borderId="11" xfId="0" applyFont="1" applyFill="1" applyBorder="1" applyAlignment="1">
      <alignment horizontal="center" vertical="center"/>
    </xf>
    <xf numFmtId="0" fontId="22" fillId="36" borderId="14" xfId="0" applyFont="1" applyFill="1" applyBorder="1" applyAlignment="1">
      <alignment horizontal="center" vertical="center" wrapText="1" readingOrder="1"/>
    </xf>
    <xf numFmtId="0" fontId="22" fillId="0" borderId="12" xfId="0" applyFont="1" applyBorder="1" applyAlignment="1">
      <alignment horizontal="center"/>
    </xf>
    <xf numFmtId="0" fontId="22" fillId="39" borderId="14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39" borderId="14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2" fillId="37" borderId="14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left" wrapText="1"/>
    </xf>
    <xf numFmtId="0" fontId="21" fillId="35" borderId="14" xfId="0" applyFont="1" applyFill="1" applyBorder="1" applyAlignment="1">
      <alignment horizontal="left" vertical="center" wrapText="1"/>
    </xf>
    <xf numFmtId="0" fontId="22" fillId="36" borderId="14" xfId="0" applyFont="1" applyFill="1" applyBorder="1" applyAlignment="1">
      <alignment horizontal="center" vertical="center"/>
    </xf>
    <xf numFmtId="0" fontId="24" fillId="0" borderId="14" xfId="0" applyFont="1" applyBorder="1"/>
    <xf numFmtId="0" fontId="19" fillId="39" borderId="14" xfId="0" applyFont="1" applyFill="1" applyBorder="1"/>
    <xf numFmtId="0" fontId="21" fillId="42" borderId="14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2" fillId="37" borderId="11" xfId="0" applyFont="1" applyFill="1" applyBorder="1" applyAlignment="1">
      <alignment horizontal="center" vertical="center"/>
    </xf>
    <xf numFmtId="0" fontId="21" fillId="39" borderId="14" xfId="0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center"/>
    </xf>
    <xf numFmtId="0" fontId="21" fillId="0" borderId="2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8BE563D-1C3C-4C0F-A36A-114F8F3AF19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2"/>
  <sheetViews>
    <sheetView tabSelected="1" zoomScale="57" workbookViewId="0">
      <selection activeCell="F6" sqref="F6"/>
    </sheetView>
  </sheetViews>
  <sheetFormatPr defaultRowHeight="14.4" x14ac:dyDescent="0.3"/>
  <cols>
    <col min="5" max="5" width="35.77734375" customWidth="1"/>
  </cols>
  <sheetData>
    <row r="1" spans="1:76" ht="13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88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6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7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9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10" t="s">
        <v>66</v>
      </c>
      <c r="BQ1" s="10" t="s">
        <v>67</v>
      </c>
      <c r="BR1" s="10" t="s">
        <v>68</v>
      </c>
      <c r="BS1" s="5" t="s">
        <v>69</v>
      </c>
      <c r="BT1" s="5" t="s">
        <v>66</v>
      </c>
      <c r="BU1" s="11" t="s">
        <v>70</v>
      </c>
      <c r="BV1" s="12" t="s">
        <v>71</v>
      </c>
      <c r="BW1" s="5" t="s">
        <v>72</v>
      </c>
      <c r="BX1" s="5" t="s">
        <v>73</v>
      </c>
    </row>
    <row r="2" spans="1:76" ht="15" thickBot="1" x14ac:dyDescent="0.35">
      <c r="A2" s="13">
        <v>1</v>
      </c>
      <c r="B2" s="13" t="s">
        <v>74</v>
      </c>
      <c r="C2" s="13" t="s">
        <v>37</v>
      </c>
      <c r="D2" s="13" t="s">
        <v>75</v>
      </c>
      <c r="E2" s="14" t="s">
        <v>76</v>
      </c>
      <c r="F2" s="15">
        <v>5</v>
      </c>
      <c r="G2" s="16">
        <v>0</v>
      </c>
      <c r="H2" s="16">
        <v>0</v>
      </c>
      <c r="I2" s="16">
        <v>0</v>
      </c>
      <c r="J2" s="16">
        <v>0</v>
      </c>
      <c r="K2" s="17">
        <v>0</v>
      </c>
      <c r="L2" s="17">
        <v>0</v>
      </c>
      <c r="M2" s="16">
        <v>0</v>
      </c>
      <c r="N2" s="17">
        <v>5</v>
      </c>
      <c r="O2" s="18"/>
      <c r="P2" s="18"/>
      <c r="Q2" s="19">
        <v>3</v>
      </c>
      <c r="R2" s="18"/>
      <c r="S2" s="18"/>
      <c r="T2" s="18"/>
      <c r="U2" s="18"/>
      <c r="V2" s="18"/>
      <c r="W2" s="18"/>
      <c r="X2" s="18"/>
      <c r="Y2" s="18">
        <v>1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>
        <v>1</v>
      </c>
      <c r="BC2" s="18"/>
      <c r="BD2" s="18"/>
      <c r="BE2" s="18"/>
      <c r="BF2" s="18"/>
      <c r="BG2" s="18"/>
      <c r="BH2" s="18">
        <v>3</v>
      </c>
      <c r="BI2" s="18"/>
      <c r="BJ2" s="18"/>
      <c r="BK2" s="20"/>
      <c r="BL2" s="18"/>
      <c r="BM2" s="18"/>
      <c r="BN2" s="18">
        <v>1</v>
      </c>
      <c r="BO2" s="18"/>
      <c r="BP2" s="21">
        <f>SUM(BA2:BJ2)</f>
        <v>4</v>
      </c>
      <c r="BQ2" s="21">
        <f t="shared" ref="BQ2:BQ65" si="0">SUM(BL2:BO2)</f>
        <v>1</v>
      </c>
      <c r="BR2" s="21">
        <f t="shared" ref="BR2:BR65" si="1">SUM(BP2:BQ2)</f>
        <v>5</v>
      </c>
      <c r="BS2" s="22" t="s">
        <v>77</v>
      </c>
      <c r="BT2" s="22" t="s">
        <v>77</v>
      </c>
      <c r="BU2" s="23" t="s">
        <v>78</v>
      </c>
      <c r="BV2" s="24"/>
      <c r="BW2" s="25" t="s">
        <v>79</v>
      </c>
      <c r="BX2" s="25" t="s">
        <v>80</v>
      </c>
    </row>
    <row r="3" spans="1:76" ht="41.4" thickBot="1" x14ac:dyDescent="0.35">
      <c r="A3" s="13">
        <v>2</v>
      </c>
      <c r="B3" s="13" t="s">
        <v>74</v>
      </c>
      <c r="C3" s="13" t="s">
        <v>41</v>
      </c>
      <c r="D3" s="13" t="s">
        <v>81</v>
      </c>
      <c r="E3" s="14" t="s">
        <v>82</v>
      </c>
      <c r="F3" s="15">
        <v>3</v>
      </c>
      <c r="G3" s="16">
        <v>0</v>
      </c>
      <c r="H3" s="16">
        <v>0</v>
      </c>
      <c r="I3" s="16">
        <v>0</v>
      </c>
      <c r="J3" s="16">
        <v>0</v>
      </c>
      <c r="K3" s="17">
        <v>0</v>
      </c>
      <c r="L3" s="17">
        <v>0</v>
      </c>
      <c r="M3" s="16">
        <v>0</v>
      </c>
      <c r="N3" s="17">
        <v>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9">
        <v>3</v>
      </c>
      <c r="AR3" s="18"/>
      <c r="AS3" s="18"/>
      <c r="AT3" s="18"/>
      <c r="AU3" s="18"/>
      <c r="AV3" s="18"/>
      <c r="AW3" s="18">
        <v>1</v>
      </c>
      <c r="AX3" s="18"/>
      <c r="AY3" s="18">
        <v>1</v>
      </c>
      <c r="AZ3" s="18"/>
      <c r="BA3" s="18"/>
      <c r="BB3" s="18">
        <v>1</v>
      </c>
      <c r="BC3" s="18"/>
      <c r="BD3" s="18">
        <v>2</v>
      </c>
      <c r="BE3" s="18"/>
      <c r="BF3" s="18"/>
      <c r="BG3" s="18"/>
      <c r="BH3" s="18">
        <v>3</v>
      </c>
      <c r="BI3" s="18"/>
      <c r="BJ3" s="18"/>
      <c r="BK3" s="18"/>
      <c r="BL3" s="18">
        <v>1</v>
      </c>
      <c r="BM3" s="18"/>
      <c r="BN3" s="18"/>
      <c r="BO3" s="18"/>
      <c r="BP3" s="21">
        <f t="shared" ref="BP3:BP49" si="2">SUM(BA3:BK3)</f>
        <v>6</v>
      </c>
      <c r="BQ3" s="21">
        <f t="shared" si="0"/>
        <v>1</v>
      </c>
      <c r="BR3" s="21">
        <f t="shared" si="1"/>
        <v>7</v>
      </c>
      <c r="BS3" s="26" t="s">
        <v>78</v>
      </c>
      <c r="BT3" s="26" t="s">
        <v>78</v>
      </c>
      <c r="BU3" s="23" t="s">
        <v>78</v>
      </c>
      <c r="BV3" s="24" t="s">
        <v>83</v>
      </c>
      <c r="BW3" s="25" t="s">
        <v>79</v>
      </c>
      <c r="BX3" s="25"/>
    </row>
    <row r="4" spans="1:76" ht="21" thickBot="1" x14ac:dyDescent="0.35">
      <c r="A4" s="13">
        <v>3</v>
      </c>
      <c r="B4" s="13" t="s">
        <v>84</v>
      </c>
      <c r="C4" s="13" t="s">
        <v>32</v>
      </c>
      <c r="D4" s="13" t="s">
        <v>75</v>
      </c>
      <c r="E4" s="14" t="s">
        <v>85</v>
      </c>
      <c r="F4" s="15">
        <v>3</v>
      </c>
      <c r="G4" s="16">
        <v>0</v>
      </c>
      <c r="H4" s="16">
        <v>0</v>
      </c>
      <c r="I4" s="16">
        <v>0</v>
      </c>
      <c r="J4" s="16">
        <v>0</v>
      </c>
      <c r="K4" s="17">
        <v>0</v>
      </c>
      <c r="L4" s="17">
        <v>0</v>
      </c>
      <c r="M4" s="16">
        <v>0</v>
      </c>
      <c r="N4" s="17">
        <v>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27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>
        <v>3</v>
      </c>
      <c r="BI4" s="18"/>
      <c r="BJ4" s="18"/>
      <c r="BK4" s="20"/>
      <c r="BL4" s="18"/>
      <c r="BM4" s="18"/>
      <c r="BN4" s="18">
        <v>1</v>
      </c>
      <c r="BO4" s="18"/>
      <c r="BP4" s="21">
        <f>SUM(BA4:BJ4)</f>
        <v>3</v>
      </c>
      <c r="BQ4" s="21">
        <f t="shared" si="0"/>
        <v>1</v>
      </c>
      <c r="BR4" s="21">
        <f t="shared" si="1"/>
        <v>4</v>
      </c>
      <c r="BS4" s="28" t="s">
        <v>78</v>
      </c>
      <c r="BT4" s="28" t="s">
        <v>78</v>
      </c>
      <c r="BU4" s="29" t="s">
        <v>78</v>
      </c>
      <c r="BV4" s="24"/>
      <c r="BW4" s="30" t="s">
        <v>86</v>
      </c>
      <c r="BX4" s="30" t="s">
        <v>87</v>
      </c>
    </row>
    <row r="5" spans="1:76" ht="73.2" thickBot="1" x14ac:dyDescent="0.35">
      <c r="A5" s="13">
        <v>4</v>
      </c>
      <c r="B5" s="13" t="s">
        <v>84</v>
      </c>
      <c r="C5" s="13" t="s">
        <v>88</v>
      </c>
      <c r="D5" s="13" t="s">
        <v>89</v>
      </c>
      <c r="E5" s="14" t="s">
        <v>90</v>
      </c>
      <c r="F5" s="15">
        <v>1</v>
      </c>
      <c r="G5" s="16">
        <v>0</v>
      </c>
      <c r="H5" s="16">
        <v>0</v>
      </c>
      <c r="I5" s="16">
        <v>0</v>
      </c>
      <c r="J5" s="16">
        <v>0</v>
      </c>
      <c r="K5" s="17">
        <v>0</v>
      </c>
      <c r="L5" s="17">
        <v>0</v>
      </c>
      <c r="M5" s="16">
        <v>0</v>
      </c>
      <c r="N5" s="17">
        <v>1</v>
      </c>
      <c r="O5" s="18"/>
      <c r="P5" s="18"/>
      <c r="Q5" s="18"/>
      <c r="R5" s="18"/>
      <c r="S5" s="18"/>
      <c r="T5" s="18"/>
      <c r="U5" s="18"/>
      <c r="V5" s="19">
        <v>1</v>
      </c>
      <c r="W5" s="18">
        <v>1</v>
      </c>
      <c r="X5" s="18"/>
      <c r="Y5" s="18">
        <v>1</v>
      </c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>
        <v>1</v>
      </c>
      <c r="BC5" s="18"/>
      <c r="BD5" s="18">
        <v>2</v>
      </c>
      <c r="BE5" s="18"/>
      <c r="BF5" s="18"/>
      <c r="BG5" s="18"/>
      <c r="BH5" s="18"/>
      <c r="BI5" s="18"/>
      <c r="BJ5" s="18"/>
      <c r="BK5" s="18"/>
      <c r="BL5" s="18"/>
      <c r="BM5" s="18"/>
      <c r="BN5" s="18">
        <v>1</v>
      </c>
      <c r="BO5" s="18"/>
      <c r="BP5" s="21">
        <f t="shared" si="2"/>
        <v>3</v>
      </c>
      <c r="BQ5" s="21">
        <f t="shared" si="0"/>
        <v>1</v>
      </c>
      <c r="BR5" s="21">
        <f t="shared" si="1"/>
        <v>4</v>
      </c>
      <c r="BS5" s="26" t="s">
        <v>78</v>
      </c>
      <c r="BT5" s="26" t="s">
        <v>78</v>
      </c>
      <c r="BU5" s="23" t="s">
        <v>78</v>
      </c>
      <c r="BV5" s="24" t="s">
        <v>91</v>
      </c>
      <c r="BW5" s="25" t="s">
        <v>79</v>
      </c>
      <c r="BX5" s="25"/>
    </row>
    <row r="6" spans="1:76" ht="42.6" thickBot="1" x14ac:dyDescent="0.35">
      <c r="A6" s="13">
        <v>5</v>
      </c>
      <c r="B6" s="13" t="s">
        <v>92</v>
      </c>
      <c r="C6" s="13" t="s">
        <v>24</v>
      </c>
      <c r="D6" s="13" t="s">
        <v>75</v>
      </c>
      <c r="E6" s="14" t="s">
        <v>93</v>
      </c>
      <c r="F6" s="16">
        <v>3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2">
        <v>3</v>
      </c>
      <c r="AA6" s="31"/>
      <c r="AB6" s="31"/>
      <c r="AC6" s="31"/>
      <c r="AD6" s="18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>
        <v>1</v>
      </c>
      <c r="AZ6" s="31"/>
      <c r="BA6" s="31"/>
      <c r="BB6" s="31">
        <v>1</v>
      </c>
      <c r="BC6" s="31"/>
      <c r="BD6" s="31"/>
      <c r="BE6" s="31"/>
      <c r="BF6" s="31"/>
      <c r="BG6" s="31"/>
      <c r="BH6" s="31">
        <v>3</v>
      </c>
      <c r="BI6" s="31"/>
      <c r="BJ6" s="31"/>
      <c r="BK6" s="18"/>
      <c r="BL6" s="18">
        <v>1</v>
      </c>
      <c r="BM6" s="18"/>
      <c r="BN6" s="18"/>
      <c r="BO6" s="18"/>
      <c r="BP6" s="21">
        <f t="shared" si="2"/>
        <v>4</v>
      </c>
      <c r="BQ6" s="21">
        <f t="shared" si="0"/>
        <v>1</v>
      </c>
      <c r="BR6" s="21">
        <f t="shared" si="1"/>
        <v>5</v>
      </c>
      <c r="BS6" s="26" t="s">
        <v>78</v>
      </c>
      <c r="BT6" s="26" t="s">
        <v>78</v>
      </c>
      <c r="BU6" s="23" t="s">
        <v>78</v>
      </c>
      <c r="BV6" s="24" t="s">
        <v>94</v>
      </c>
      <c r="BW6" s="25" t="s">
        <v>79</v>
      </c>
      <c r="BX6" s="25"/>
    </row>
    <row r="7" spans="1:76" ht="42.6" thickBot="1" x14ac:dyDescent="0.35">
      <c r="A7" s="13">
        <v>6</v>
      </c>
      <c r="B7" s="13" t="s">
        <v>92</v>
      </c>
      <c r="C7" s="13" t="s">
        <v>18</v>
      </c>
      <c r="D7" s="13" t="s">
        <v>81</v>
      </c>
      <c r="E7" s="14" t="s">
        <v>95</v>
      </c>
      <c r="F7" s="16">
        <v>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3</v>
      </c>
      <c r="O7" s="31"/>
      <c r="P7" s="33"/>
      <c r="Q7" s="31"/>
      <c r="R7" s="31"/>
      <c r="S7" s="32">
        <v>3</v>
      </c>
      <c r="T7" s="31"/>
      <c r="U7" s="31"/>
      <c r="V7" s="31"/>
      <c r="W7" s="31"/>
      <c r="X7" s="31"/>
      <c r="Y7" s="31">
        <v>1</v>
      </c>
      <c r="Z7" s="31"/>
      <c r="AA7" s="31"/>
      <c r="AB7" s="31"/>
      <c r="AC7" s="31"/>
      <c r="AD7" s="18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>
        <v>3</v>
      </c>
      <c r="AZ7" s="31"/>
      <c r="BA7" s="31"/>
      <c r="BB7" s="31">
        <v>1</v>
      </c>
      <c r="BC7" s="31"/>
      <c r="BD7" s="31"/>
      <c r="BE7" s="31"/>
      <c r="BF7" s="31"/>
      <c r="BG7" s="31"/>
      <c r="BH7" s="31">
        <v>3</v>
      </c>
      <c r="BI7" s="31"/>
      <c r="BJ7" s="31"/>
      <c r="BK7" s="18"/>
      <c r="BL7" s="18"/>
      <c r="BM7" s="18">
        <v>1</v>
      </c>
      <c r="BN7" s="18"/>
      <c r="BO7" s="18">
        <v>1</v>
      </c>
      <c r="BP7" s="21">
        <f>SUM(BA7:BK7)</f>
        <v>4</v>
      </c>
      <c r="BQ7" s="21">
        <f t="shared" si="0"/>
        <v>2</v>
      </c>
      <c r="BR7" s="21">
        <f t="shared" si="1"/>
        <v>6</v>
      </c>
      <c r="BS7" s="26" t="s">
        <v>78</v>
      </c>
      <c r="BT7" s="26" t="s">
        <v>78</v>
      </c>
      <c r="BU7" s="23" t="s">
        <v>78</v>
      </c>
      <c r="BV7" s="24" t="s">
        <v>96</v>
      </c>
      <c r="BW7" s="25" t="s">
        <v>79</v>
      </c>
      <c r="BX7" s="25"/>
    </row>
    <row r="8" spans="1:76" ht="61.8" thickBot="1" x14ac:dyDescent="0.35">
      <c r="A8" s="13">
        <v>7</v>
      </c>
      <c r="B8" s="13" t="s">
        <v>74</v>
      </c>
      <c r="C8" s="13" t="s">
        <v>40</v>
      </c>
      <c r="D8" s="13" t="s">
        <v>81</v>
      </c>
      <c r="E8" s="14" t="s">
        <v>97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7">
        <f>SUM(F8:M8)</f>
        <v>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18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4">
        <v>1</v>
      </c>
      <c r="AQ8" s="31"/>
      <c r="AR8" s="31"/>
      <c r="AS8" s="31"/>
      <c r="AT8" s="18"/>
      <c r="AU8" s="31"/>
      <c r="AV8" s="31"/>
      <c r="AW8" s="31"/>
      <c r="AX8" s="31"/>
      <c r="AY8" s="31">
        <v>1</v>
      </c>
      <c r="AZ8" s="31"/>
      <c r="BA8" s="31"/>
      <c r="BB8" s="31">
        <v>2</v>
      </c>
      <c r="BC8" s="31"/>
      <c r="BD8" s="31"/>
      <c r="BE8" s="31"/>
      <c r="BF8" s="31"/>
      <c r="BG8" s="31"/>
      <c r="BH8" s="31"/>
      <c r="BI8" s="31"/>
      <c r="BJ8" s="31"/>
      <c r="BK8" s="18"/>
      <c r="BL8" s="18">
        <v>1</v>
      </c>
      <c r="BM8" s="18"/>
      <c r="BN8" s="18"/>
      <c r="BO8" s="18"/>
      <c r="BP8" s="21">
        <f t="shared" si="2"/>
        <v>2</v>
      </c>
      <c r="BQ8" s="21">
        <f t="shared" si="0"/>
        <v>1</v>
      </c>
      <c r="BR8" s="21">
        <f t="shared" si="1"/>
        <v>3</v>
      </c>
      <c r="BS8" s="26" t="s">
        <v>78</v>
      </c>
      <c r="BT8" s="26" t="s">
        <v>78</v>
      </c>
      <c r="BU8" s="23" t="s">
        <v>78</v>
      </c>
      <c r="BV8" s="24" t="s">
        <v>98</v>
      </c>
      <c r="BW8" s="25" t="s">
        <v>79</v>
      </c>
      <c r="BX8" s="25"/>
    </row>
    <row r="9" spans="1:76" ht="42.6" thickBot="1" x14ac:dyDescent="0.35">
      <c r="A9" s="13">
        <v>8</v>
      </c>
      <c r="B9" s="13" t="s">
        <v>84</v>
      </c>
      <c r="C9" s="13" t="s">
        <v>46</v>
      </c>
      <c r="D9" s="13" t="s">
        <v>81</v>
      </c>
      <c r="E9" s="14" t="s">
        <v>99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7">
        <v>0</v>
      </c>
      <c r="L9" s="17">
        <v>0</v>
      </c>
      <c r="M9" s="16">
        <v>0</v>
      </c>
      <c r="N9" s="17">
        <v>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5"/>
      <c r="AB9" s="31"/>
      <c r="AC9" s="31"/>
      <c r="AD9" s="18"/>
      <c r="AE9" s="31" t="s">
        <v>100</v>
      </c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4">
        <v>1</v>
      </c>
      <c r="AU9" s="31"/>
      <c r="AV9" s="31"/>
      <c r="AW9" s="31"/>
      <c r="AX9" s="31"/>
      <c r="AY9" s="31">
        <v>1</v>
      </c>
      <c r="AZ9" s="31"/>
      <c r="BA9" s="31"/>
      <c r="BB9" s="31">
        <v>2</v>
      </c>
      <c r="BC9" s="31"/>
      <c r="BD9" s="31"/>
      <c r="BE9" s="31"/>
      <c r="BF9" s="31"/>
      <c r="BG9" s="31"/>
      <c r="BH9" s="31"/>
      <c r="BI9" s="31"/>
      <c r="BJ9" s="31"/>
      <c r="BK9" s="18"/>
      <c r="BL9" s="18">
        <v>3</v>
      </c>
      <c r="BM9" s="18"/>
      <c r="BN9" s="18"/>
      <c r="BO9" s="18"/>
      <c r="BP9" s="21">
        <f t="shared" si="2"/>
        <v>2</v>
      </c>
      <c r="BQ9" s="21">
        <f t="shared" si="0"/>
        <v>3</v>
      </c>
      <c r="BR9" s="21">
        <f t="shared" si="1"/>
        <v>5</v>
      </c>
      <c r="BS9" s="36" t="s">
        <v>78</v>
      </c>
      <c r="BT9" s="36" t="s">
        <v>78</v>
      </c>
      <c r="BU9" s="37" t="s">
        <v>78</v>
      </c>
      <c r="BV9" s="24" t="s">
        <v>96</v>
      </c>
      <c r="BW9" s="25" t="s">
        <v>79</v>
      </c>
      <c r="BX9" s="25"/>
    </row>
    <row r="10" spans="1:76" ht="103.8" thickBot="1" x14ac:dyDescent="0.35">
      <c r="A10" s="13">
        <v>9</v>
      </c>
      <c r="B10" s="13" t="s">
        <v>74</v>
      </c>
      <c r="C10" s="13" t="s">
        <v>101</v>
      </c>
      <c r="D10" s="13" t="s">
        <v>81</v>
      </c>
      <c r="E10" s="14" t="s">
        <v>102</v>
      </c>
      <c r="F10" s="16">
        <v>5</v>
      </c>
      <c r="G10" s="16">
        <v>0</v>
      </c>
      <c r="H10" s="16">
        <v>0</v>
      </c>
      <c r="I10" s="16">
        <v>0</v>
      </c>
      <c r="J10" s="16">
        <v>0</v>
      </c>
      <c r="K10" s="17">
        <v>0</v>
      </c>
      <c r="L10" s="17">
        <v>0</v>
      </c>
      <c r="M10" s="16">
        <v>0</v>
      </c>
      <c r="N10" s="17">
        <f t="shared" ref="N10:N15" si="3">SUM(F10:M10)</f>
        <v>5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4">
        <v>5</v>
      </c>
      <c r="AT10" s="31"/>
      <c r="AU10" s="31"/>
      <c r="AV10" s="31"/>
      <c r="AW10" s="31"/>
      <c r="AX10" s="31"/>
      <c r="AY10" s="31">
        <v>1</v>
      </c>
      <c r="AZ10" s="31"/>
      <c r="BA10" s="31"/>
      <c r="BB10" s="31">
        <v>1</v>
      </c>
      <c r="BC10" s="31"/>
      <c r="BD10" s="31"/>
      <c r="BE10" s="31"/>
      <c r="BF10" s="31"/>
      <c r="BG10" s="31"/>
      <c r="BH10" s="31"/>
      <c r="BI10" s="31"/>
      <c r="BJ10" s="31">
        <v>5</v>
      </c>
      <c r="BK10" s="18"/>
      <c r="BL10" s="18">
        <v>1</v>
      </c>
      <c r="BM10" s="18"/>
      <c r="BN10" s="18"/>
      <c r="BO10" s="18"/>
      <c r="BP10" s="21">
        <f t="shared" si="2"/>
        <v>6</v>
      </c>
      <c r="BQ10" s="21">
        <f t="shared" si="0"/>
        <v>1</v>
      </c>
      <c r="BR10" s="21">
        <f t="shared" si="1"/>
        <v>7</v>
      </c>
      <c r="BS10" s="36" t="s">
        <v>78</v>
      </c>
      <c r="BT10" s="36" t="s">
        <v>78</v>
      </c>
      <c r="BU10" s="37" t="s">
        <v>78</v>
      </c>
      <c r="BV10" s="24" t="s">
        <v>103</v>
      </c>
      <c r="BW10" s="25" t="s">
        <v>79</v>
      </c>
      <c r="BX10" s="25"/>
    </row>
    <row r="11" spans="1:76" ht="21" thickBot="1" x14ac:dyDescent="0.35">
      <c r="A11" s="13">
        <v>10</v>
      </c>
      <c r="B11" s="13" t="s">
        <v>74</v>
      </c>
      <c r="C11" s="13" t="s">
        <v>32</v>
      </c>
      <c r="D11" s="13" t="s">
        <v>75</v>
      </c>
      <c r="E11" s="14" t="s">
        <v>104</v>
      </c>
      <c r="F11" s="38">
        <v>5</v>
      </c>
      <c r="G11" s="38">
        <v>0</v>
      </c>
      <c r="H11" s="38">
        <v>0</v>
      </c>
      <c r="I11" s="38">
        <v>0</v>
      </c>
      <c r="J11" s="38">
        <v>0</v>
      </c>
      <c r="K11" s="31">
        <v>0</v>
      </c>
      <c r="L11" s="31">
        <v>0</v>
      </c>
      <c r="M11" s="38">
        <v>0</v>
      </c>
      <c r="N11" s="31">
        <f t="shared" si="3"/>
        <v>5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18"/>
      <c r="AE11" s="31"/>
      <c r="AF11" s="31"/>
      <c r="AG11" s="31"/>
      <c r="AH11" s="31">
        <v>5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>
        <v>5</v>
      </c>
      <c r="BJ11" s="31"/>
      <c r="BK11" s="18"/>
      <c r="BL11" s="18">
        <v>1</v>
      </c>
      <c r="BM11" s="18"/>
      <c r="BN11" s="18"/>
      <c r="BO11" s="18"/>
      <c r="BP11" s="21">
        <f t="shared" si="2"/>
        <v>5</v>
      </c>
      <c r="BQ11" s="21">
        <f t="shared" si="0"/>
        <v>1</v>
      </c>
      <c r="BR11" s="21">
        <f t="shared" si="1"/>
        <v>6</v>
      </c>
      <c r="BS11" s="36" t="s">
        <v>78</v>
      </c>
      <c r="BT11" s="36" t="s">
        <v>78</v>
      </c>
      <c r="BU11" s="37" t="s">
        <v>105</v>
      </c>
      <c r="BV11" s="25" t="s">
        <v>106</v>
      </c>
      <c r="BW11" s="25" t="s">
        <v>79</v>
      </c>
      <c r="BX11" s="25"/>
    </row>
    <row r="12" spans="1:76" ht="61.8" thickBot="1" x14ac:dyDescent="0.35">
      <c r="A12" s="13">
        <v>11</v>
      </c>
      <c r="B12" s="13" t="s">
        <v>84</v>
      </c>
      <c r="C12" s="13" t="s">
        <v>15</v>
      </c>
      <c r="D12" s="13" t="s">
        <v>89</v>
      </c>
      <c r="E12" s="14" t="s">
        <v>107</v>
      </c>
      <c r="F12" s="16">
        <v>3</v>
      </c>
      <c r="G12" s="16">
        <v>0</v>
      </c>
      <c r="H12" s="16">
        <v>0</v>
      </c>
      <c r="I12" s="16">
        <v>0</v>
      </c>
      <c r="J12" s="16">
        <v>0</v>
      </c>
      <c r="K12" s="17">
        <v>0</v>
      </c>
      <c r="L12" s="17">
        <v>0</v>
      </c>
      <c r="M12" s="16">
        <v>0</v>
      </c>
      <c r="N12" s="17">
        <f t="shared" si="3"/>
        <v>3</v>
      </c>
      <c r="O12" s="31"/>
      <c r="P12" s="34">
        <v>3</v>
      </c>
      <c r="Q12" s="31"/>
      <c r="R12" s="31"/>
      <c r="S12" s="31"/>
      <c r="T12" s="31"/>
      <c r="U12" s="31"/>
      <c r="V12" s="31"/>
      <c r="W12" s="31"/>
      <c r="X12" s="31"/>
      <c r="Y12" s="31">
        <v>1</v>
      </c>
      <c r="Z12" s="31"/>
      <c r="AA12" s="31"/>
      <c r="AB12" s="31"/>
      <c r="AC12" s="31"/>
      <c r="AD12" s="18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3</v>
      </c>
      <c r="AZ12" s="31"/>
      <c r="BA12" s="31"/>
      <c r="BB12" s="31">
        <v>2</v>
      </c>
      <c r="BC12" s="31"/>
      <c r="BD12" s="31"/>
      <c r="BE12" s="31"/>
      <c r="BF12" s="31"/>
      <c r="BG12" s="31"/>
      <c r="BH12" s="31">
        <v>3</v>
      </c>
      <c r="BI12" s="31"/>
      <c r="BJ12" s="31"/>
      <c r="BK12" s="18"/>
      <c r="BL12" s="18">
        <v>1</v>
      </c>
      <c r="BM12" s="18"/>
      <c r="BN12" s="18"/>
      <c r="BO12" s="18"/>
      <c r="BP12" s="21">
        <f t="shared" si="2"/>
        <v>5</v>
      </c>
      <c r="BQ12" s="21">
        <f t="shared" si="0"/>
        <v>1</v>
      </c>
      <c r="BR12" s="21">
        <f t="shared" si="1"/>
        <v>6</v>
      </c>
      <c r="BS12" s="36" t="s">
        <v>78</v>
      </c>
      <c r="BT12" s="36" t="s">
        <v>78</v>
      </c>
      <c r="BU12" s="37" t="s">
        <v>78</v>
      </c>
      <c r="BV12" s="24" t="s">
        <v>96</v>
      </c>
      <c r="BW12" s="25" t="s">
        <v>79</v>
      </c>
      <c r="BX12" s="25"/>
    </row>
    <row r="13" spans="1:76" ht="21" thickBot="1" x14ac:dyDescent="0.35">
      <c r="A13" s="13">
        <v>12</v>
      </c>
      <c r="B13" s="13" t="s">
        <v>74</v>
      </c>
      <c r="C13" s="13" t="s">
        <v>44</v>
      </c>
      <c r="D13" s="13" t="s">
        <v>81</v>
      </c>
      <c r="E13" s="14" t="s">
        <v>108</v>
      </c>
      <c r="F13" s="38">
        <v>1</v>
      </c>
      <c r="G13" s="38">
        <v>0</v>
      </c>
      <c r="H13" s="38">
        <v>0</v>
      </c>
      <c r="I13" s="38">
        <v>0</v>
      </c>
      <c r="J13" s="38">
        <v>0</v>
      </c>
      <c r="K13" s="31">
        <v>0</v>
      </c>
      <c r="L13" s="31">
        <v>0</v>
      </c>
      <c r="M13" s="38">
        <v>0</v>
      </c>
      <c r="N13" s="31">
        <f t="shared" si="3"/>
        <v>1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18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4">
        <v>1</v>
      </c>
      <c r="AU13" s="31"/>
      <c r="AV13" s="31"/>
      <c r="AW13" s="31"/>
      <c r="AX13" s="31"/>
      <c r="AY13" s="31">
        <v>1</v>
      </c>
      <c r="AZ13" s="31"/>
      <c r="BA13" s="31"/>
      <c r="BB13" s="31">
        <v>1</v>
      </c>
      <c r="BC13" s="31"/>
      <c r="BD13" s="31">
        <v>1</v>
      </c>
      <c r="BE13" s="31"/>
      <c r="BF13" s="31"/>
      <c r="BG13" s="31"/>
      <c r="BH13" s="31"/>
      <c r="BI13" s="31"/>
      <c r="BJ13" s="31"/>
      <c r="BK13" s="18"/>
      <c r="BL13" s="18">
        <v>1</v>
      </c>
      <c r="BM13" s="18"/>
      <c r="BN13" s="18"/>
      <c r="BO13" s="18"/>
      <c r="BP13" s="21">
        <f t="shared" si="2"/>
        <v>2</v>
      </c>
      <c r="BQ13" s="21">
        <f t="shared" si="0"/>
        <v>1</v>
      </c>
      <c r="BR13" s="21">
        <f t="shared" si="1"/>
        <v>3</v>
      </c>
      <c r="BS13" s="36" t="s">
        <v>78</v>
      </c>
      <c r="BT13" s="36" t="s">
        <v>78</v>
      </c>
      <c r="BU13" s="37" t="s">
        <v>78</v>
      </c>
      <c r="BV13" s="39" t="s">
        <v>109</v>
      </c>
      <c r="BW13" s="25" t="s">
        <v>79</v>
      </c>
      <c r="BX13" s="25"/>
    </row>
    <row r="14" spans="1:76" ht="41.4" thickBot="1" x14ac:dyDescent="0.35">
      <c r="A14" s="13">
        <v>13</v>
      </c>
      <c r="B14" s="13" t="s">
        <v>74</v>
      </c>
      <c r="C14" s="13" t="s">
        <v>110</v>
      </c>
      <c r="D14" s="13" t="s">
        <v>81</v>
      </c>
      <c r="E14" s="14" t="s">
        <v>111</v>
      </c>
      <c r="F14" s="38">
        <v>1</v>
      </c>
      <c r="G14" s="38">
        <v>0</v>
      </c>
      <c r="H14" s="38">
        <v>0</v>
      </c>
      <c r="I14" s="38">
        <v>0</v>
      </c>
      <c r="J14" s="38">
        <v>0</v>
      </c>
      <c r="K14" s="31">
        <v>0</v>
      </c>
      <c r="L14" s="31">
        <v>0</v>
      </c>
      <c r="M14" s="38">
        <v>0</v>
      </c>
      <c r="N14" s="31">
        <f t="shared" si="3"/>
        <v>1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18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>
        <v>1</v>
      </c>
      <c r="AZ14" s="31"/>
      <c r="BA14" s="31"/>
      <c r="BB14" s="31">
        <v>1</v>
      </c>
      <c r="BC14" s="31"/>
      <c r="BD14" s="31"/>
      <c r="BE14" s="31"/>
      <c r="BF14" s="31"/>
      <c r="BG14" s="31"/>
      <c r="BH14" s="31"/>
      <c r="BI14" s="31"/>
      <c r="BJ14" s="31"/>
      <c r="BK14" s="18"/>
      <c r="BL14" s="18">
        <v>1</v>
      </c>
      <c r="BM14" s="18"/>
      <c r="BN14" s="18"/>
      <c r="BO14" s="18"/>
      <c r="BP14" s="21">
        <f t="shared" si="2"/>
        <v>1</v>
      </c>
      <c r="BQ14" s="21">
        <f t="shared" si="0"/>
        <v>1</v>
      </c>
      <c r="BR14" s="21">
        <f t="shared" si="1"/>
        <v>2</v>
      </c>
      <c r="BS14" s="36" t="s">
        <v>78</v>
      </c>
      <c r="BT14" s="36" t="s">
        <v>78</v>
      </c>
      <c r="BU14" s="37" t="s">
        <v>78</v>
      </c>
      <c r="BV14" s="39" t="s">
        <v>112</v>
      </c>
      <c r="BW14" s="25" t="s">
        <v>79</v>
      </c>
      <c r="BX14" s="25"/>
    </row>
    <row r="15" spans="1:76" ht="31.2" thickBot="1" x14ac:dyDescent="0.35">
      <c r="A15" s="13">
        <v>14</v>
      </c>
      <c r="B15" s="13" t="s">
        <v>74</v>
      </c>
      <c r="C15" s="13" t="s">
        <v>39</v>
      </c>
      <c r="D15" s="13" t="s">
        <v>81</v>
      </c>
      <c r="E15" s="14" t="s">
        <v>113</v>
      </c>
      <c r="F15" s="38">
        <v>3</v>
      </c>
      <c r="G15" s="38">
        <v>0</v>
      </c>
      <c r="H15" s="38">
        <v>0</v>
      </c>
      <c r="I15" s="38">
        <v>0</v>
      </c>
      <c r="J15" s="38">
        <v>0</v>
      </c>
      <c r="K15" s="31">
        <v>0</v>
      </c>
      <c r="L15" s="31">
        <v>0</v>
      </c>
      <c r="M15" s="38">
        <v>0</v>
      </c>
      <c r="N15" s="31">
        <f t="shared" si="3"/>
        <v>3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18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>
        <v>5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/>
      <c r="BF15" s="31"/>
      <c r="BG15" s="31"/>
      <c r="BH15" s="31"/>
      <c r="BI15" s="31"/>
      <c r="BJ15" s="31">
        <v>5</v>
      </c>
      <c r="BK15" s="18"/>
      <c r="BL15" s="18">
        <v>1</v>
      </c>
      <c r="BM15" s="18"/>
      <c r="BN15" s="18"/>
      <c r="BO15" s="18"/>
      <c r="BP15" s="21">
        <f t="shared" si="2"/>
        <v>6</v>
      </c>
      <c r="BQ15" s="21">
        <f t="shared" si="0"/>
        <v>1</v>
      </c>
      <c r="BR15" s="21">
        <f t="shared" si="1"/>
        <v>7</v>
      </c>
      <c r="BS15" s="36" t="s">
        <v>78</v>
      </c>
      <c r="BT15" s="36" t="s">
        <v>78</v>
      </c>
      <c r="BU15" s="37" t="s">
        <v>78</v>
      </c>
      <c r="BV15" s="40" t="s">
        <v>114</v>
      </c>
      <c r="BW15" s="25" t="s">
        <v>79</v>
      </c>
      <c r="BX15" s="25"/>
    </row>
    <row r="16" spans="1:76" ht="42.6" thickBot="1" x14ac:dyDescent="0.35">
      <c r="A16" s="13">
        <v>15</v>
      </c>
      <c r="B16" s="13" t="s">
        <v>74</v>
      </c>
      <c r="C16" s="13" t="s">
        <v>37</v>
      </c>
      <c r="D16" s="13" t="s">
        <v>115</v>
      </c>
      <c r="E16" s="14" t="s">
        <v>116</v>
      </c>
      <c r="F16" s="16">
        <v>1</v>
      </c>
      <c r="G16" s="16">
        <v>0</v>
      </c>
      <c r="H16" s="16">
        <v>0</v>
      </c>
      <c r="I16" s="16">
        <v>0</v>
      </c>
      <c r="J16" s="16">
        <v>0</v>
      </c>
      <c r="K16" s="17">
        <v>0</v>
      </c>
      <c r="L16" s="17">
        <v>0</v>
      </c>
      <c r="M16" s="16">
        <v>0</v>
      </c>
      <c r="N16" s="17">
        <v>1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18"/>
      <c r="AE16" s="31"/>
      <c r="AF16" s="31"/>
      <c r="AG16" s="31"/>
      <c r="AH16" s="31"/>
      <c r="AI16" s="31"/>
      <c r="AJ16" s="31"/>
      <c r="AK16" s="31"/>
      <c r="AL16" s="31"/>
      <c r="AM16" s="31">
        <v>3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>
        <v>3</v>
      </c>
      <c r="BI16" s="31"/>
      <c r="BJ16" s="31"/>
      <c r="BK16" s="18"/>
      <c r="BL16" s="18">
        <v>5</v>
      </c>
      <c r="BM16" s="18"/>
      <c r="BN16" s="18"/>
      <c r="BO16" s="18"/>
      <c r="BP16" s="21">
        <f t="shared" si="2"/>
        <v>3</v>
      </c>
      <c r="BQ16" s="21">
        <f t="shared" si="0"/>
        <v>5</v>
      </c>
      <c r="BR16" s="21">
        <f t="shared" si="1"/>
        <v>8</v>
      </c>
      <c r="BS16" s="36" t="s">
        <v>78</v>
      </c>
      <c r="BT16" s="36" t="s">
        <v>78</v>
      </c>
      <c r="BU16" s="37" t="s">
        <v>78</v>
      </c>
      <c r="BV16" s="41" t="s">
        <v>96</v>
      </c>
      <c r="BW16" s="25" t="s">
        <v>79</v>
      </c>
      <c r="BX16" s="25"/>
    </row>
    <row r="17" spans="1:76" ht="42.6" thickBot="1" x14ac:dyDescent="0.35">
      <c r="A17" s="13">
        <v>16</v>
      </c>
      <c r="B17" s="13" t="s">
        <v>84</v>
      </c>
      <c r="C17" s="13" t="s">
        <v>16</v>
      </c>
      <c r="D17" s="13" t="s">
        <v>89</v>
      </c>
      <c r="E17" s="14" t="s">
        <v>117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7">
        <v>0</v>
      </c>
      <c r="L17" s="17">
        <v>0</v>
      </c>
      <c r="M17" s="16">
        <v>0</v>
      </c>
      <c r="N17" s="17">
        <v>1</v>
      </c>
      <c r="O17" s="31"/>
      <c r="P17" s="31"/>
      <c r="Q17" s="34">
        <v>1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18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>
        <v>3</v>
      </c>
      <c r="AZ17" s="31"/>
      <c r="BA17" s="31"/>
      <c r="BB17" s="31">
        <v>1</v>
      </c>
      <c r="BC17" s="31"/>
      <c r="BD17" s="31"/>
      <c r="BE17" s="31"/>
      <c r="BF17" s="31"/>
      <c r="BG17" s="31"/>
      <c r="BH17" s="31"/>
      <c r="BI17" s="31"/>
      <c r="BJ17" s="31"/>
      <c r="BK17" s="18"/>
      <c r="BL17" s="18">
        <v>1</v>
      </c>
      <c r="BM17" s="18"/>
      <c r="BN17" s="18">
        <v>1</v>
      </c>
      <c r="BO17" s="18"/>
      <c r="BP17" s="21">
        <f t="shared" si="2"/>
        <v>1</v>
      </c>
      <c r="BQ17" s="21">
        <f t="shared" si="0"/>
        <v>2</v>
      </c>
      <c r="BR17" s="21">
        <f t="shared" si="1"/>
        <v>3</v>
      </c>
      <c r="BS17" s="36" t="s">
        <v>78</v>
      </c>
      <c r="BT17" s="36" t="s">
        <v>78</v>
      </c>
      <c r="BU17" s="37" t="s">
        <v>78</v>
      </c>
      <c r="BV17" s="41" t="s">
        <v>118</v>
      </c>
      <c r="BW17" s="25" t="s">
        <v>79</v>
      </c>
      <c r="BX17" s="42"/>
    </row>
    <row r="18" spans="1:76" ht="31.2" thickBot="1" x14ac:dyDescent="0.35">
      <c r="A18" s="13">
        <v>17</v>
      </c>
      <c r="B18" s="13" t="s">
        <v>92</v>
      </c>
      <c r="C18" s="13" t="s">
        <v>47</v>
      </c>
      <c r="D18" s="13" t="s">
        <v>81</v>
      </c>
      <c r="E18" s="14" t="s">
        <v>119</v>
      </c>
      <c r="F18" s="38">
        <v>1</v>
      </c>
      <c r="G18" s="38">
        <v>0</v>
      </c>
      <c r="H18" s="38">
        <v>0</v>
      </c>
      <c r="I18" s="38">
        <v>0</v>
      </c>
      <c r="J18" s="38">
        <v>0</v>
      </c>
      <c r="K18" s="31">
        <v>0</v>
      </c>
      <c r="L18" s="31">
        <v>0</v>
      </c>
      <c r="M18" s="38">
        <v>0</v>
      </c>
      <c r="N18" s="31">
        <f t="shared" ref="N18:N26" si="4">SUM(F18:M18)</f>
        <v>1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18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>
        <v>1</v>
      </c>
      <c r="AX18" s="31"/>
      <c r="AY18" s="31"/>
      <c r="AZ18" s="31"/>
      <c r="BA18" s="31"/>
      <c r="BB18" s="31">
        <v>1</v>
      </c>
      <c r="BC18" s="31"/>
      <c r="BD18" s="31"/>
      <c r="BE18" s="31"/>
      <c r="BF18" s="31"/>
      <c r="BG18" s="31"/>
      <c r="BH18" s="31"/>
      <c r="BI18" s="31"/>
      <c r="BJ18" s="31"/>
      <c r="BK18" s="18"/>
      <c r="BL18" s="18">
        <v>1</v>
      </c>
      <c r="BM18" s="18"/>
      <c r="BN18" s="18"/>
      <c r="BO18" s="18"/>
      <c r="BP18" s="21">
        <f t="shared" si="2"/>
        <v>1</v>
      </c>
      <c r="BQ18" s="21">
        <f t="shared" si="0"/>
        <v>1</v>
      </c>
      <c r="BR18" s="21">
        <f t="shared" si="1"/>
        <v>2</v>
      </c>
      <c r="BS18" s="36" t="s">
        <v>78</v>
      </c>
      <c r="BT18" s="36" t="s">
        <v>78</v>
      </c>
      <c r="BU18" s="37" t="s">
        <v>78</v>
      </c>
      <c r="BV18" s="39" t="s">
        <v>120</v>
      </c>
      <c r="BW18" s="25" t="s">
        <v>79</v>
      </c>
      <c r="BX18" s="25"/>
    </row>
    <row r="19" spans="1:76" ht="63" thickBot="1" x14ac:dyDescent="0.35">
      <c r="A19" s="13">
        <v>18</v>
      </c>
      <c r="B19" s="13" t="s">
        <v>84</v>
      </c>
      <c r="C19" s="13" t="s">
        <v>27</v>
      </c>
      <c r="D19" s="13" t="s">
        <v>75</v>
      </c>
      <c r="E19" s="14" t="s">
        <v>121</v>
      </c>
      <c r="F19" s="16">
        <v>5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17">
        <v>0</v>
      </c>
      <c r="M19" s="16">
        <v>0</v>
      </c>
      <c r="N19" s="17">
        <f t="shared" si="4"/>
        <v>5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4">
        <v>5</v>
      </c>
      <c r="AD19" s="18"/>
      <c r="AE19" s="31"/>
      <c r="AF19" s="31"/>
      <c r="AG19" s="31"/>
      <c r="AH19" s="31"/>
      <c r="AI19" s="31"/>
      <c r="AJ19" s="31"/>
      <c r="AK19" s="31"/>
      <c r="AL19" s="31"/>
      <c r="AM19" s="31"/>
      <c r="AN19" s="31">
        <v>1</v>
      </c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>
        <v>1</v>
      </c>
      <c r="BC19" s="31"/>
      <c r="BD19" s="31"/>
      <c r="BE19" s="31"/>
      <c r="BF19" s="31"/>
      <c r="BG19" s="31"/>
      <c r="BH19" s="31"/>
      <c r="BI19" s="31"/>
      <c r="BJ19" s="31"/>
      <c r="BK19" s="18">
        <v>5</v>
      </c>
      <c r="BL19" s="18"/>
      <c r="BM19" s="18"/>
      <c r="BN19" s="18">
        <v>1</v>
      </c>
      <c r="BO19" s="18"/>
      <c r="BP19" s="21">
        <f t="shared" si="2"/>
        <v>6</v>
      </c>
      <c r="BQ19" s="21">
        <f t="shared" si="0"/>
        <v>1</v>
      </c>
      <c r="BR19" s="21">
        <f t="shared" si="1"/>
        <v>7</v>
      </c>
      <c r="BS19" s="26" t="s">
        <v>78</v>
      </c>
      <c r="BT19" s="26" t="s">
        <v>78</v>
      </c>
      <c r="BU19" s="23" t="s">
        <v>78</v>
      </c>
      <c r="BV19" s="24" t="s">
        <v>122</v>
      </c>
      <c r="BW19" s="25" t="s">
        <v>79</v>
      </c>
      <c r="BX19" s="25"/>
    </row>
    <row r="20" spans="1:76" ht="22.2" thickBot="1" x14ac:dyDescent="0.35">
      <c r="A20" s="13">
        <v>19</v>
      </c>
      <c r="B20" s="13" t="s">
        <v>74</v>
      </c>
      <c r="C20" s="13" t="s">
        <v>30</v>
      </c>
      <c r="D20" s="13" t="s">
        <v>115</v>
      </c>
      <c r="E20" s="14" t="s">
        <v>123</v>
      </c>
      <c r="F20" s="15">
        <v>3</v>
      </c>
      <c r="G20" s="38">
        <v>0</v>
      </c>
      <c r="H20" s="38">
        <v>0</v>
      </c>
      <c r="I20" s="38">
        <v>0</v>
      </c>
      <c r="J20" s="38">
        <v>0</v>
      </c>
      <c r="K20" s="31">
        <v>0</v>
      </c>
      <c r="L20" s="31">
        <v>0</v>
      </c>
      <c r="M20" s="38">
        <v>0</v>
      </c>
      <c r="N20" s="31">
        <f t="shared" si="4"/>
        <v>3</v>
      </c>
      <c r="O20" s="15"/>
      <c r="P20" s="15"/>
      <c r="Q20" s="15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15"/>
      <c r="AE20" s="31"/>
      <c r="AF20" s="31">
        <v>3</v>
      </c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4">
        <v>1</v>
      </c>
      <c r="AS20" s="31"/>
      <c r="AT20" s="31"/>
      <c r="AU20" s="31"/>
      <c r="AV20" s="31"/>
      <c r="AW20" s="31"/>
      <c r="AX20" s="31"/>
      <c r="AY20" s="31">
        <v>1</v>
      </c>
      <c r="AZ20" s="31"/>
      <c r="BA20" s="31"/>
      <c r="BB20" s="31">
        <v>1</v>
      </c>
      <c r="BC20" s="31"/>
      <c r="BD20" s="31">
        <v>1</v>
      </c>
      <c r="BE20" s="31"/>
      <c r="BF20" s="31"/>
      <c r="BG20" s="31"/>
      <c r="BH20" s="31">
        <v>3</v>
      </c>
      <c r="BI20" s="31"/>
      <c r="BJ20" s="31"/>
      <c r="BK20" s="15"/>
      <c r="BL20" s="15">
        <v>1</v>
      </c>
      <c r="BM20" s="15"/>
      <c r="BN20" s="15"/>
      <c r="BO20" s="15"/>
      <c r="BP20" s="21">
        <f t="shared" si="2"/>
        <v>5</v>
      </c>
      <c r="BQ20" s="21">
        <f t="shared" si="0"/>
        <v>1</v>
      </c>
      <c r="BR20" s="21">
        <f t="shared" si="1"/>
        <v>6</v>
      </c>
      <c r="BS20" s="36" t="s">
        <v>78</v>
      </c>
      <c r="BT20" s="36" t="s">
        <v>78</v>
      </c>
      <c r="BU20" s="37" t="s">
        <v>78</v>
      </c>
      <c r="BV20" s="24" t="s">
        <v>124</v>
      </c>
      <c r="BW20" s="25" t="s">
        <v>79</v>
      </c>
      <c r="BX20" s="25"/>
    </row>
    <row r="21" spans="1:76" ht="32.4" thickBot="1" x14ac:dyDescent="0.35">
      <c r="A21" s="13">
        <v>20</v>
      </c>
      <c r="B21" s="13" t="s">
        <v>74</v>
      </c>
      <c r="C21" s="13" t="s">
        <v>30</v>
      </c>
      <c r="D21" s="13" t="s">
        <v>75</v>
      </c>
      <c r="E21" s="14" t="s">
        <v>125</v>
      </c>
      <c r="F21" s="15">
        <v>3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7">
        <v>0</v>
      </c>
      <c r="M21" s="16">
        <v>0</v>
      </c>
      <c r="N21" s="17">
        <f t="shared" si="4"/>
        <v>3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>
        <v>3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>
        <v>3</v>
      </c>
      <c r="BI21" s="15"/>
      <c r="BJ21" s="15"/>
      <c r="BK21" s="15"/>
      <c r="BL21" s="15"/>
      <c r="BM21" s="15"/>
      <c r="BN21" s="15">
        <v>1</v>
      </c>
      <c r="BO21" s="15"/>
      <c r="BP21" s="21">
        <f t="shared" si="2"/>
        <v>3</v>
      </c>
      <c r="BQ21" s="21">
        <f t="shared" si="0"/>
        <v>1</v>
      </c>
      <c r="BR21" s="21">
        <f t="shared" si="1"/>
        <v>4</v>
      </c>
      <c r="BS21" s="36" t="s">
        <v>78</v>
      </c>
      <c r="BT21" s="36" t="s">
        <v>78</v>
      </c>
      <c r="BU21" s="23" t="s">
        <v>78</v>
      </c>
      <c r="BV21" s="24" t="s">
        <v>126</v>
      </c>
      <c r="BW21" s="25" t="s">
        <v>79</v>
      </c>
      <c r="BX21" s="25"/>
    </row>
    <row r="22" spans="1:76" ht="41.4" thickBot="1" x14ac:dyDescent="0.35">
      <c r="A22" s="13">
        <v>21</v>
      </c>
      <c r="B22" s="13" t="s">
        <v>74</v>
      </c>
      <c r="C22" s="13" t="s">
        <v>33</v>
      </c>
      <c r="D22" s="13" t="s">
        <v>75</v>
      </c>
      <c r="E22" s="14" t="s">
        <v>127</v>
      </c>
      <c r="F22" s="15">
        <v>5</v>
      </c>
      <c r="G22" s="16">
        <v>0</v>
      </c>
      <c r="H22" s="16">
        <v>0</v>
      </c>
      <c r="I22" s="16">
        <v>0</v>
      </c>
      <c r="J22" s="16">
        <v>0</v>
      </c>
      <c r="K22" s="17">
        <v>0</v>
      </c>
      <c r="L22" s="17">
        <v>0</v>
      </c>
      <c r="M22" s="16">
        <v>0</v>
      </c>
      <c r="N22" s="17">
        <f t="shared" si="4"/>
        <v>5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43">
        <v>5</v>
      </c>
      <c r="AJ22" s="15">
        <v>1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>
        <v>1</v>
      </c>
      <c r="AZ22" s="15"/>
      <c r="BA22" s="15"/>
      <c r="BB22" s="15">
        <v>2</v>
      </c>
      <c r="BC22" s="15"/>
      <c r="BD22" s="15"/>
      <c r="BE22" s="15"/>
      <c r="BF22" s="15"/>
      <c r="BG22" s="15"/>
      <c r="BH22" s="15"/>
      <c r="BI22" s="15">
        <v>5</v>
      </c>
      <c r="BJ22" s="15"/>
      <c r="BK22" s="15"/>
      <c r="BL22" s="15"/>
      <c r="BM22" s="15"/>
      <c r="BN22" s="15">
        <v>1</v>
      </c>
      <c r="BO22" s="15"/>
      <c r="BP22" s="21">
        <f t="shared" si="2"/>
        <v>7</v>
      </c>
      <c r="BQ22" s="21">
        <f t="shared" si="0"/>
        <v>1</v>
      </c>
      <c r="BR22" s="21">
        <f t="shared" si="1"/>
        <v>8</v>
      </c>
      <c r="BS22" s="26" t="s">
        <v>78</v>
      </c>
      <c r="BT22" s="26" t="s">
        <v>78</v>
      </c>
      <c r="BU22" s="23" t="s">
        <v>78</v>
      </c>
      <c r="BV22" s="25" t="s">
        <v>106</v>
      </c>
      <c r="BW22" s="25" t="s">
        <v>79</v>
      </c>
      <c r="BX22" s="25"/>
    </row>
    <row r="23" spans="1:76" ht="32.4" thickBot="1" x14ac:dyDescent="0.35">
      <c r="A23" s="13">
        <v>22</v>
      </c>
      <c r="B23" s="13" t="s">
        <v>74</v>
      </c>
      <c r="C23" s="13" t="s">
        <v>40</v>
      </c>
      <c r="D23" s="13" t="s">
        <v>81</v>
      </c>
      <c r="E23" s="14" t="s">
        <v>128</v>
      </c>
      <c r="F23" s="15">
        <v>3</v>
      </c>
      <c r="G23" s="16">
        <v>0</v>
      </c>
      <c r="H23" s="16">
        <v>0</v>
      </c>
      <c r="I23" s="16">
        <v>0</v>
      </c>
      <c r="J23" s="16">
        <v>0</v>
      </c>
      <c r="K23" s="17">
        <v>0</v>
      </c>
      <c r="L23" s="17">
        <v>0</v>
      </c>
      <c r="M23" s="16">
        <v>0</v>
      </c>
      <c r="N23" s="17">
        <f t="shared" si="4"/>
        <v>3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>
        <v>5</v>
      </c>
      <c r="AQ23" s="15"/>
      <c r="AR23" s="15"/>
      <c r="AS23" s="15"/>
      <c r="AT23" s="15"/>
      <c r="AU23" s="15"/>
      <c r="AV23" s="15"/>
      <c r="AW23" s="15"/>
      <c r="AX23" s="15"/>
      <c r="AY23" s="15">
        <v>1</v>
      </c>
      <c r="AZ23" s="15"/>
      <c r="BA23" s="15"/>
      <c r="BB23" s="15">
        <v>1</v>
      </c>
      <c r="BC23" s="15"/>
      <c r="BD23" s="15"/>
      <c r="BE23" s="15"/>
      <c r="BF23" s="15"/>
      <c r="BG23" s="15"/>
      <c r="BH23" s="15"/>
      <c r="BI23" s="15">
        <v>5</v>
      </c>
      <c r="BJ23" s="15"/>
      <c r="BK23" s="15"/>
      <c r="BL23" s="15">
        <v>1</v>
      </c>
      <c r="BM23" s="15"/>
      <c r="BN23" s="15"/>
      <c r="BO23" s="15"/>
      <c r="BP23" s="21">
        <f t="shared" si="2"/>
        <v>6</v>
      </c>
      <c r="BQ23" s="21">
        <f t="shared" si="0"/>
        <v>1</v>
      </c>
      <c r="BR23" s="21">
        <f t="shared" si="1"/>
        <v>7</v>
      </c>
      <c r="BS23" s="26" t="s">
        <v>78</v>
      </c>
      <c r="BT23" s="26" t="s">
        <v>78</v>
      </c>
      <c r="BU23" s="23" t="s">
        <v>78</v>
      </c>
      <c r="BV23" s="24" t="s">
        <v>129</v>
      </c>
      <c r="BW23" s="25" t="s">
        <v>79</v>
      </c>
      <c r="BX23" s="25"/>
    </row>
    <row r="24" spans="1:76" ht="63" thickBot="1" x14ac:dyDescent="0.35">
      <c r="A24" s="13">
        <v>23</v>
      </c>
      <c r="B24" s="13" t="s">
        <v>74</v>
      </c>
      <c r="C24" s="13" t="s">
        <v>37</v>
      </c>
      <c r="D24" s="13" t="s">
        <v>115</v>
      </c>
      <c r="E24" s="14" t="s">
        <v>130</v>
      </c>
      <c r="F24" s="15">
        <v>3</v>
      </c>
      <c r="G24" s="38">
        <v>0</v>
      </c>
      <c r="H24" s="38">
        <v>0</v>
      </c>
      <c r="I24" s="38">
        <v>0</v>
      </c>
      <c r="J24" s="38">
        <v>0</v>
      </c>
      <c r="K24" s="31">
        <v>0</v>
      </c>
      <c r="L24" s="31">
        <v>0</v>
      </c>
      <c r="M24" s="38">
        <v>0</v>
      </c>
      <c r="N24" s="31">
        <f t="shared" si="4"/>
        <v>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>
        <v>3</v>
      </c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>
        <v>3</v>
      </c>
      <c r="BG24" s="15"/>
      <c r="BH24" s="15"/>
      <c r="BI24" s="15"/>
      <c r="BJ24" s="15"/>
      <c r="BK24" s="15"/>
      <c r="BL24" s="15">
        <v>1</v>
      </c>
      <c r="BM24" s="15"/>
      <c r="BN24" s="15"/>
      <c r="BO24" s="15"/>
      <c r="BP24" s="21">
        <f t="shared" si="2"/>
        <v>3</v>
      </c>
      <c r="BQ24" s="21">
        <f t="shared" si="0"/>
        <v>1</v>
      </c>
      <c r="BR24" s="21">
        <f t="shared" si="1"/>
        <v>4</v>
      </c>
      <c r="BS24" s="26" t="s">
        <v>78</v>
      </c>
      <c r="BT24" s="26" t="s">
        <v>78</v>
      </c>
      <c r="BU24" s="23" t="s">
        <v>78</v>
      </c>
      <c r="BV24" s="24" t="s">
        <v>131</v>
      </c>
      <c r="BW24" s="25" t="s">
        <v>79</v>
      </c>
      <c r="BX24" s="25"/>
    </row>
    <row r="25" spans="1:76" ht="73.2" thickBot="1" x14ac:dyDescent="0.35">
      <c r="A25" s="13">
        <v>24</v>
      </c>
      <c r="B25" s="13" t="s">
        <v>74</v>
      </c>
      <c r="C25" s="13" t="s">
        <v>132</v>
      </c>
      <c r="D25" s="13" t="s">
        <v>81</v>
      </c>
      <c r="E25" s="14" t="s">
        <v>133</v>
      </c>
      <c r="F25" s="15">
        <v>3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17">
        <v>0</v>
      </c>
      <c r="M25" s="16">
        <v>0</v>
      </c>
      <c r="N25" s="17">
        <f t="shared" si="4"/>
        <v>3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43">
        <v>3</v>
      </c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>
        <v>3</v>
      </c>
      <c r="BG25" s="15"/>
      <c r="BH25" s="15"/>
      <c r="BI25" s="15"/>
      <c r="BJ25" s="15"/>
      <c r="BK25" s="15"/>
      <c r="BL25" s="15">
        <v>1</v>
      </c>
      <c r="BM25" s="15">
        <v>3</v>
      </c>
      <c r="BN25" s="15"/>
      <c r="BO25" s="15"/>
      <c r="BP25" s="21">
        <f t="shared" si="2"/>
        <v>3</v>
      </c>
      <c r="BQ25" s="21">
        <f t="shared" si="0"/>
        <v>4</v>
      </c>
      <c r="BR25" s="21">
        <f t="shared" si="1"/>
        <v>7</v>
      </c>
      <c r="BS25" s="36" t="s">
        <v>78</v>
      </c>
      <c r="BT25" s="36" t="s">
        <v>78</v>
      </c>
      <c r="BU25" s="23" t="s">
        <v>78</v>
      </c>
      <c r="BV25" s="24" t="s">
        <v>134</v>
      </c>
      <c r="BW25" s="25" t="s">
        <v>79</v>
      </c>
      <c r="BX25" s="25"/>
    </row>
    <row r="26" spans="1:76" ht="42.6" thickBot="1" x14ac:dyDescent="0.35">
      <c r="A26" s="13">
        <v>25</v>
      </c>
      <c r="B26" s="13" t="s">
        <v>84</v>
      </c>
      <c r="C26" s="13" t="s">
        <v>19</v>
      </c>
      <c r="D26" s="13" t="s">
        <v>89</v>
      </c>
      <c r="E26" s="14" t="s">
        <v>135</v>
      </c>
      <c r="F26" s="15">
        <v>1</v>
      </c>
      <c r="G26" s="38">
        <v>0</v>
      </c>
      <c r="H26" s="38">
        <v>0</v>
      </c>
      <c r="I26" s="38">
        <v>0</v>
      </c>
      <c r="J26" s="38">
        <v>0</v>
      </c>
      <c r="K26" s="31">
        <v>0</v>
      </c>
      <c r="L26" s="31">
        <v>0</v>
      </c>
      <c r="M26" s="38">
        <v>0</v>
      </c>
      <c r="N26" s="31">
        <f t="shared" si="4"/>
        <v>1</v>
      </c>
      <c r="O26" s="15"/>
      <c r="P26" s="15"/>
      <c r="Q26" s="15"/>
      <c r="R26" s="15"/>
      <c r="S26" s="15"/>
      <c r="T26" s="43">
        <v>1</v>
      </c>
      <c r="U26" s="15"/>
      <c r="V26" s="15"/>
      <c r="W26" s="15"/>
      <c r="X26" s="15"/>
      <c r="Y26" s="15">
        <v>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>
        <v>1</v>
      </c>
      <c r="BC26" s="15"/>
      <c r="BD26" s="15">
        <v>1</v>
      </c>
      <c r="BE26" s="15"/>
      <c r="BF26" s="15"/>
      <c r="BG26" s="15"/>
      <c r="BH26" s="15"/>
      <c r="BI26" s="15"/>
      <c r="BJ26" s="15"/>
      <c r="BK26" s="15"/>
      <c r="BL26" s="15">
        <v>1</v>
      </c>
      <c r="BM26" s="15"/>
      <c r="BN26" s="15"/>
      <c r="BO26" s="15"/>
      <c r="BP26" s="21">
        <f t="shared" si="2"/>
        <v>2</v>
      </c>
      <c r="BQ26" s="21">
        <f t="shared" si="0"/>
        <v>1</v>
      </c>
      <c r="BR26" s="21">
        <f t="shared" si="1"/>
        <v>3</v>
      </c>
      <c r="BS26" s="26" t="s">
        <v>78</v>
      </c>
      <c r="BT26" s="26" t="s">
        <v>78</v>
      </c>
      <c r="BU26" s="23" t="s">
        <v>78</v>
      </c>
      <c r="BV26" s="24" t="s">
        <v>136</v>
      </c>
      <c r="BW26" s="25" t="s">
        <v>79</v>
      </c>
      <c r="BX26" s="25"/>
    </row>
    <row r="27" spans="1:76" ht="32.4" thickBot="1" x14ac:dyDescent="0.35">
      <c r="A27" s="13">
        <v>26</v>
      </c>
      <c r="B27" s="13" t="s">
        <v>92</v>
      </c>
      <c r="C27" s="13" t="s">
        <v>14</v>
      </c>
      <c r="D27" s="13" t="s">
        <v>89</v>
      </c>
      <c r="E27" s="14" t="s">
        <v>137</v>
      </c>
      <c r="F27" s="15">
        <v>1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17">
        <v>0</v>
      </c>
      <c r="M27" s="16">
        <v>0</v>
      </c>
      <c r="N27" s="17">
        <v>1</v>
      </c>
      <c r="O27" s="15"/>
      <c r="P27" s="15"/>
      <c r="Q27" s="15"/>
      <c r="R27" s="43">
        <v>1</v>
      </c>
      <c r="S27" s="15"/>
      <c r="T27" s="15"/>
      <c r="U27" s="15"/>
      <c r="V27" s="15"/>
      <c r="W27" s="15"/>
      <c r="X27" s="15"/>
      <c r="Y27" s="15">
        <v>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>
        <v>2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>
        <v>1</v>
      </c>
      <c r="BM27" s="15"/>
      <c r="BN27" s="44"/>
      <c r="BO27" s="15"/>
      <c r="BP27" s="21">
        <f t="shared" si="2"/>
        <v>2</v>
      </c>
      <c r="BQ27" s="21">
        <f>SUM(BL27:BO27)</f>
        <v>1</v>
      </c>
      <c r="BR27" s="21">
        <f t="shared" si="1"/>
        <v>3</v>
      </c>
      <c r="BS27" s="36" t="s">
        <v>78</v>
      </c>
      <c r="BT27" s="36" t="s">
        <v>78</v>
      </c>
      <c r="BU27" s="37" t="s">
        <v>78</v>
      </c>
      <c r="BV27" s="24" t="s">
        <v>138</v>
      </c>
      <c r="BW27" s="25" t="s">
        <v>79</v>
      </c>
      <c r="BX27" s="25"/>
    </row>
    <row r="28" spans="1:76" ht="61.8" thickBot="1" x14ac:dyDescent="0.35">
      <c r="A28" s="13">
        <v>27</v>
      </c>
      <c r="B28" s="13" t="s">
        <v>74</v>
      </c>
      <c r="C28" s="13" t="s">
        <v>17</v>
      </c>
      <c r="D28" s="13" t="s">
        <v>89</v>
      </c>
      <c r="E28" s="14" t="s">
        <v>139</v>
      </c>
      <c r="F28" s="15">
        <v>3</v>
      </c>
      <c r="G28" s="16">
        <v>0</v>
      </c>
      <c r="H28" s="16">
        <v>0</v>
      </c>
      <c r="I28" s="16">
        <v>0</v>
      </c>
      <c r="J28" s="16">
        <v>0</v>
      </c>
      <c r="K28" s="17">
        <v>0</v>
      </c>
      <c r="L28" s="17">
        <v>0</v>
      </c>
      <c r="M28" s="16">
        <v>0</v>
      </c>
      <c r="N28" s="17">
        <f t="shared" ref="N28:N35" si="5">SUM(F28:M28)</f>
        <v>3</v>
      </c>
      <c r="O28" s="15"/>
      <c r="P28" s="15"/>
      <c r="Q28" s="15"/>
      <c r="R28" s="45">
        <v>3</v>
      </c>
      <c r="S28" s="15"/>
      <c r="T28" s="15"/>
      <c r="U28" s="15"/>
      <c r="V28" s="15"/>
      <c r="W28" s="15"/>
      <c r="X28" s="15"/>
      <c r="Y28" s="15">
        <v>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>
        <v>1</v>
      </c>
      <c r="BC28" s="15"/>
      <c r="BD28" s="15"/>
      <c r="BE28" s="15"/>
      <c r="BF28" s="15"/>
      <c r="BG28" s="15"/>
      <c r="BH28" s="15">
        <v>3</v>
      </c>
      <c r="BI28" s="15"/>
      <c r="BJ28" s="15"/>
      <c r="BK28" s="15"/>
      <c r="BL28" s="15">
        <v>1</v>
      </c>
      <c r="BM28" s="15"/>
      <c r="BN28" s="15"/>
      <c r="BO28" s="15"/>
      <c r="BP28" s="21">
        <f t="shared" si="2"/>
        <v>4</v>
      </c>
      <c r="BQ28" s="21">
        <f t="shared" si="0"/>
        <v>1</v>
      </c>
      <c r="BR28" s="21">
        <f t="shared" si="1"/>
        <v>5</v>
      </c>
      <c r="BS28" s="26" t="s">
        <v>78</v>
      </c>
      <c r="BT28" s="26" t="s">
        <v>78</v>
      </c>
      <c r="BU28" s="23" t="s">
        <v>78</v>
      </c>
      <c r="BV28" s="24" t="s">
        <v>140</v>
      </c>
      <c r="BW28" s="30" t="s">
        <v>86</v>
      </c>
      <c r="BX28" s="30" t="s">
        <v>141</v>
      </c>
    </row>
    <row r="29" spans="1:76" ht="61.8" thickBot="1" x14ac:dyDescent="0.35">
      <c r="A29" s="13">
        <v>28</v>
      </c>
      <c r="B29" s="13" t="s">
        <v>84</v>
      </c>
      <c r="C29" s="13" t="s">
        <v>41</v>
      </c>
      <c r="D29" s="13" t="s">
        <v>89</v>
      </c>
      <c r="E29" s="14" t="s">
        <v>142</v>
      </c>
      <c r="F29" s="15">
        <v>1</v>
      </c>
      <c r="G29" s="38">
        <v>0</v>
      </c>
      <c r="H29" s="38">
        <v>0</v>
      </c>
      <c r="I29" s="38">
        <v>0</v>
      </c>
      <c r="J29" s="38">
        <v>0</v>
      </c>
      <c r="K29" s="31">
        <v>0</v>
      </c>
      <c r="L29" s="31">
        <v>0</v>
      </c>
      <c r="M29" s="38">
        <v>0</v>
      </c>
      <c r="N29" s="31">
        <f t="shared" si="5"/>
        <v>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43">
        <v>1</v>
      </c>
      <c r="AR29" s="15"/>
      <c r="AS29" s="15"/>
      <c r="AT29" s="15"/>
      <c r="AU29" s="15"/>
      <c r="AV29" s="15"/>
      <c r="AW29" s="15"/>
      <c r="AX29" s="15"/>
      <c r="AY29" s="15">
        <v>1</v>
      </c>
      <c r="AZ29" s="15"/>
      <c r="BA29" s="15"/>
      <c r="BB29" s="15">
        <v>1</v>
      </c>
      <c r="BC29" s="15"/>
      <c r="BD29" s="15">
        <v>1</v>
      </c>
      <c r="BE29" s="15"/>
      <c r="BF29" s="15"/>
      <c r="BG29" s="15"/>
      <c r="BH29" s="15"/>
      <c r="BI29" s="15"/>
      <c r="BJ29" s="15"/>
      <c r="BK29" s="15"/>
      <c r="BL29" s="15">
        <v>1</v>
      </c>
      <c r="BM29" s="15"/>
      <c r="BN29" s="15">
        <v>1</v>
      </c>
      <c r="BO29" s="15"/>
      <c r="BP29" s="21">
        <f t="shared" si="2"/>
        <v>2</v>
      </c>
      <c r="BQ29" s="21">
        <f t="shared" si="0"/>
        <v>2</v>
      </c>
      <c r="BR29" s="21">
        <f t="shared" si="1"/>
        <v>4</v>
      </c>
      <c r="BS29" s="26" t="s">
        <v>78</v>
      </c>
      <c r="BT29" s="26" t="s">
        <v>78</v>
      </c>
      <c r="BU29" s="23" t="s">
        <v>78</v>
      </c>
      <c r="BV29" s="24" t="s">
        <v>120</v>
      </c>
      <c r="BW29" s="25" t="s">
        <v>79</v>
      </c>
      <c r="BX29" s="25"/>
    </row>
    <row r="30" spans="1:76" ht="41.4" thickBot="1" x14ac:dyDescent="0.35">
      <c r="A30" s="13">
        <v>29</v>
      </c>
      <c r="B30" s="13" t="s">
        <v>92</v>
      </c>
      <c r="C30" s="13" t="s">
        <v>39</v>
      </c>
      <c r="D30" s="13" t="s">
        <v>89</v>
      </c>
      <c r="E30" s="14" t="s">
        <v>143</v>
      </c>
      <c r="F30" s="15">
        <v>1</v>
      </c>
      <c r="G30" s="16">
        <v>0</v>
      </c>
      <c r="H30" s="16">
        <v>0</v>
      </c>
      <c r="I30" s="16">
        <v>0</v>
      </c>
      <c r="J30" s="16">
        <v>0</v>
      </c>
      <c r="K30" s="17">
        <v>0</v>
      </c>
      <c r="L30" s="17">
        <v>0</v>
      </c>
      <c r="M30" s="16">
        <v>0</v>
      </c>
      <c r="N30" s="17">
        <f t="shared" si="5"/>
        <v>1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43">
        <v>1</v>
      </c>
      <c r="AP30" s="15">
        <v>1</v>
      </c>
      <c r="AQ30" s="15"/>
      <c r="AR30" s="15"/>
      <c r="AS30" s="15"/>
      <c r="AT30" s="15"/>
      <c r="AU30" s="15"/>
      <c r="AV30" s="15"/>
      <c r="AW30" s="15"/>
      <c r="AX30" s="15"/>
      <c r="AY30" s="15">
        <v>1</v>
      </c>
      <c r="AZ30" s="15"/>
      <c r="BA30" s="15"/>
      <c r="BB30" s="15">
        <v>1</v>
      </c>
      <c r="BC30" s="15"/>
      <c r="BD30" s="15">
        <v>2</v>
      </c>
      <c r="BE30" s="15"/>
      <c r="BF30" s="15"/>
      <c r="BG30" s="15"/>
      <c r="BH30" s="15"/>
      <c r="BI30" s="15"/>
      <c r="BJ30" s="15"/>
      <c r="BK30" s="15"/>
      <c r="BL30" s="15"/>
      <c r="BM30" s="46">
        <v>1</v>
      </c>
      <c r="BN30" s="46"/>
      <c r="BO30" s="15"/>
      <c r="BP30" s="21">
        <f t="shared" si="2"/>
        <v>3</v>
      </c>
      <c r="BQ30" s="21">
        <f t="shared" si="0"/>
        <v>1</v>
      </c>
      <c r="BR30" s="21">
        <f t="shared" si="1"/>
        <v>4</v>
      </c>
      <c r="BS30" s="26" t="s">
        <v>78</v>
      </c>
      <c r="BT30" s="26" t="s">
        <v>78</v>
      </c>
      <c r="BU30" s="23" t="s">
        <v>78</v>
      </c>
      <c r="BV30" s="24" t="s">
        <v>98</v>
      </c>
      <c r="BW30" s="25" t="s">
        <v>79</v>
      </c>
      <c r="BX30" s="25"/>
    </row>
    <row r="31" spans="1:76" ht="32.4" thickBot="1" x14ac:dyDescent="0.35">
      <c r="A31" s="13">
        <v>30</v>
      </c>
      <c r="B31" s="13" t="s">
        <v>74</v>
      </c>
      <c r="C31" s="13" t="s">
        <v>14</v>
      </c>
      <c r="D31" s="13" t="s">
        <v>89</v>
      </c>
      <c r="E31" s="14" t="s">
        <v>144</v>
      </c>
      <c r="F31" s="15">
        <v>1</v>
      </c>
      <c r="G31" s="38">
        <v>0</v>
      </c>
      <c r="H31" s="38">
        <v>0</v>
      </c>
      <c r="I31" s="38">
        <v>0</v>
      </c>
      <c r="J31" s="38">
        <v>0</v>
      </c>
      <c r="K31" s="31">
        <v>0</v>
      </c>
      <c r="L31" s="31">
        <v>0</v>
      </c>
      <c r="M31" s="38">
        <v>0</v>
      </c>
      <c r="N31" s="31">
        <f t="shared" si="5"/>
        <v>1</v>
      </c>
      <c r="O31" s="43">
        <v>1</v>
      </c>
      <c r="P31" s="15"/>
      <c r="Q31" s="15"/>
      <c r="R31" s="15"/>
      <c r="S31" s="15"/>
      <c r="T31" s="15"/>
      <c r="U31" s="15"/>
      <c r="V31" s="15"/>
      <c r="W31" s="15"/>
      <c r="X31" s="15"/>
      <c r="Y31" s="15">
        <v>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>
        <v>1</v>
      </c>
      <c r="BC31" s="15"/>
      <c r="BD31" s="15">
        <v>1</v>
      </c>
      <c r="BE31" s="15"/>
      <c r="BF31" s="15"/>
      <c r="BG31" s="15"/>
      <c r="BH31" s="15"/>
      <c r="BI31" s="15"/>
      <c r="BJ31" s="15"/>
      <c r="BK31" s="15"/>
      <c r="BL31" s="47">
        <v>1</v>
      </c>
      <c r="BM31" s="48"/>
      <c r="BN31" s="30"/>
      <c r="BO31" s="49"/>
      <c r="BP31" s="21">
        <f t="shared" si="2"/>
        <v>2</v>
      </c>
      <c r="BQ31" s="21">
        <f>SUM(BL31:BO31)</f>
        <v>1</v>
      </c>
      <c r="BR31" s="21">
        <f t="shared" si="1"/>
        <v>3</v>
      </c>
      <c r="BS31" s="26" t="s">
        <v>78</v>
      </c>
      <c r="BT31" s="26" t="s">
        <v>78</v>
      </c>
      <c r="BU31" s="23" t="s">
        <v>78</v>
      </c>
      <c r="BV31" s="24" t="s">
        <v>120</v>
      </c>
      <c r="BW31" s="25" t="s">
        <v>79</v>
      </c>
      <c r="BX31" s="25"/>
    </row>
    <row r="32" spans="1:76" ht="32.4" thickBot="1" x14ac:dyDescent="0.35">
      <c r="A32" s="50">
        <v>31</v>
      </c>
      <c r="B32" s="13" t="s">
        <v>74</v>
      </c>
      <c r="C32" s="50" t="s">
        <v>14</v>
      </c>
      <c r="D32" s="50" t="s">
        <v>89</v>
      </c>
      <c r="E32" s="51" t="s">
        <v>145</v>
      </c>
      <c r="F32" s="52">
        <v>1</v>
      </c>
      <c r="G32" s="53">
        <v>0</v>
      </c>
      <c r="H32" s="53">
        <v>0</v>
      </c>
      <c r="I32" s="53">
        <v>0</v>
      </c>
      <c r="J32" s="53">
        <v>0</v>
      </c>
      <c r="K32" s="54">
        <v>0</v>
      </c>
      <c r="L32" s="54">
        <v>0</v>
      </c>
      <c r="M32" s="53">
        <v>0</v>
      </c>
      <c r="N32" s="54">
        <f t="shared" si="5"/>
        <v>1</v>
      </c>
      <c r="O32" s="52">
        <v>1</v>
      </c>
      <c r="P32" s="52"/>
      <c r="Q32" s="52"/>
      <c r="R32" s="52"/>
      <c r="S32" s="52"/>
      <c r="T32" s="52"/>
      <c r="U32" s="52"/>
      <c r="V32" s="52"/>
      <c r="W32" s="52"/>
      <c r="X32" s="52"/>
      <c r="Y32" s="52">
        <v>1</v>
      </c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>
        <v>2</v>
      </c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>
        <v>1</v>
      </c>
      <c r="BO32" s="52"/>
      <c r="BP32" s="55">
        <f t="shared" si="2"/>
        <v>2</v>
      </c>
      <c r="BQ32" s="55">
        <f t="shared" si="0"/>
        <v>1</v>
      </c>
      <c r="BR32" s="55">
        <f t="shared" si="1"/>
        <v>3</v>
      </c>
      <c r="BS32" s="56" t="s">
        <v>78</v>
      </c>
      <c r="BT32" s="56" t="s">
        <v>78</v>
      </c>
      <c r="BU32" s="57" t="s">
        <v>78</v>
      </c>
      <c r="BV32" s="24" t="s">
        <v>120</v>
      </c>
      <c r="BW32" s="25" t="s">
        <v>79</v>
      </c>
      <c r="BX32" s="25"/>
    </row>
    <row r="33" spans="1:76" ht="61.8" thickBot="1" x14ac:dyDescent="0.35">
      <c r="A33" s="58">
        <v>32</v>
      </c>
      <c r="B33" s="58" t="s">
        <v>146</v>
      </c>
      <c r="C33" s="58" t="s">
        <v>101</v>
      </c>
      <c r="D33" s="58" t="s">
        <v>81</v>
      </c>
      <c r="E33" s="59" t="s">
        <v>147</v>
      </c>
      <c r="F33" s="48">
        <v>1</v>
      </c>
      <c r="G33" s="60">
        <v>0</v>
      </c>
      <c r="H33" s="60">
        <v>0</v>
      </c>
      <c r="I33" s="60">
        <v>0</v>
      </c>
      <c r="J33" s="60">
        <v>0</v>
      </c>
      <c r="K33" s="61">
        <v>0</v>
      </c>
      <c r="L33" s="61">
        <v>0</v>
      </c>
      <c r="M33" s="60">
        <v>0</v>
      </c>
      <c r="N33" s="61">
        <f t="shared" si="5"/>
        <v>1</v>
      </c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62">
        <v>1</v>
      </c>
      <c r="AT33" s="48"/>
      <c r="AU33" s="48"/>
      <c r="AV33" s="48"/>
      <c r="AW33" s="48"/>
      <c r="AX33" s="48"/>
      <c r="AY33" s="48">
        <v>1</v>
      </c>
      <c r="AZ33" s="48"/>
      <c r="BA33" s="48"/>
      <c r="BB33" s="48">
        <v>1</v>
      </c>
      <c r="BC33" s="48"/>
      <c r="BD33" s="48">
        <v>1</v>
      </c>
      <c r="BE33" s="48"/>
      <c r="BF33" s="48"/>
      <c r="BG33" s="48"/>
      <c r="BH33" s="48"/>
      <c r="BI33" s="48"/>
      <c r="BJ33" s="48"/>
      <c r="BK33" s="48"/>
      <c r="BL33" s="48"/>
      <c r="BM33" s="48"/>
      <c r="BN33" s="48">
        <v>1</v>
      </c>
      <c r="BO33" s="48"/>
      <c r="BP33" s="63">
        <f t="shared" si="2"/>
        <v>2</v>
      </c>
      <c r="BQ33" s="63">
        <f t="shared" si="0"/>
        <v>1</v>
      </c>
      <c r="BR33" s="63">
        <f t="shared" si="1"/>
        <v>3</v>
      </c>
      <c r="BS33" s="28" t="s">
        <v>78</v>
      </c>
      <c r="BT33" s="28" t="s">
        <v>78</v>
      </c>
      <c r="BU33" s="29" t="s">
        <v>78</v>
      </c>
      <c r="BV33" s="24" t="s">
        <v>120</v>
      </c>
      <c r="BW33" s="25" t="s">
        <v>79</v>
      </c>
      <c r="BX33" s="25"/>
    </row>
    <row r="34" spans="1:76" ht="52.8" thickBot="1" x14ac:dyDescent="0.35">
      <c r="A34" s="58">
        <v>33</v>
      </c>
      <c r="B34" s="13" t="s">
        <v>74</v>
      </c>
      <c r="C34" s="58" t="s">
        <v>37</v>
      </c>
      <c r="D34" s="58" t="s">
        <v>81</v>
      </c>
      <c r="E34" s="59" t="s">
        <v>148</v>
      </c>
      <c r="F34" s="48">
        <v>3</v>
      </c>
      <c r="G34" s="64">
        <v>0</v>
      </c>
      <c r="H34" s="64">
        <v>0</v>
      </c>
      <c r="I34" s="64">
        <v>0</v>
      </c>
      <c r="J34" s="64">
        <v>0</v>
      </c>
      <c r="K34" s="65">
        <v>0</v>
      </c>
      <c r="L34" s="65">
        <v>0</v>
      </c>
      <c r="M34" s="64">
        <v>0</v>
      </c>
      <c r="N34" s="65">
        <f t="shared" si="5"/>
        <v>3</v>
      </c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>
        <v>5</v>
      </c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>
        <v>5</v>
      </c>
      <c r="BJ34" s="48"/>
      <c r="BK34" s="48"/>
      <c r="BL34" s="48"/>
      <c r="BM34" s="48"/>
      <c r="BN34" s="48">
        <v>1</v>
      </c>
      <c r="BO34" s="48"/>
      <c r="BP34" s="63">
        <f t="shared" si="2"/>
        <v>5</v>
      </c>
      <c r="BQ34" s="63">
        <f t="shared" si="0"/>
        <v>1</v>
      </c>
      <c r="BR34" s="63">
        <f t="shared" si="1"/>
        <v>6</v>
      </c>
      <c r="BS34" s="28" t="s">
        <v>78</v>
      </c>
      <c r="BT34" s="28" t="s">
        <v>78</v>
      </c>
      <c r="BU34" s="29" t="s">
        <v>78</v>
      </c>
      <c r="BV34" s="24" t="s">
        <v>149</v>
      </c>
      <c r="BW34" s="25" t="s">
        <v>79</v>
      </c>
      <c r="BX34" s="25"/>
    </row>
    <row r="35" spans="1:76" ht="61.8" thickBot="1" x14ac:dyDescent="0.35">
      <c r="A35" s="58">
        <v>34</v>
      </c>
      <c r="B35" s="13" t="s">
        <v>74</v>
      </c>
      <c r="C35" s="58" t="s">
        <v>37</v>
      </c>
      <c r="D35" s="58" t="s">
        <v>75</v>
      </c>
      <c r="E35" s="59" t="s">
        <v>150</v>
      </c>
      <c r="F35" s="48">
        <v>3</v>
      </c>
      <c r="G35" s="64">
        <v>0</v>
      </c>
      <c r="H35" s="64">
        <v>0</v>
      </c>
      <c r="I35" s="64">
        <v>0</v>
      </c>
      <c r="J35" s="64">
        <v>0</v>
      </c>
      <c r="K35" s="65">
        <v>0</v>
      </c>
      <c r="L35" s="65">
        <v>0</v>
      </c>
      <c r="M35" s="64">
        <v>0</v>
      </c>
      <c r="N35" s="65">
        <f t="shared" si="5"/>
        <v>3</v>
      </c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62">
        <v>3</v>
      </c>
      <c r="AN35" s="48">
        <v>1</v>
      </c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>
        <v>1</v>
      </c>
      <c r="AZ35" s="48"/>
      <c r="BA35" s="48"/>
      <c r="BB35" s="48">
        <v>1</v>
      </c>
      <c r="BC35" s="48"/>
      <c r="BD35" s="48"/>
      <c r="BE35" s="48"/>
      <c r="BF35" s="48"/>
      <c r="BG35" s="48"/>
      <c r="BH35" s="48">
        <v>3</v>
      </c>
      <c r="BI35" s="48"/>
      <c r="BJ35" s="48"/>
      <c r="BK35" s="48"/>
      <c r="BL35" s="48">
        <v>3</v>
      </c>
      <c r="BM35" s="48"/>
      <c r="BN35" s="48"/>
      <c r="BO35" s="48"/>
      <c r="BP35" s="63">
        <f t="shared" si="2"/>
        <v>4</v>
      </c>
      <c r="BQ35" s="63">
        <f t="shared" si="0"/>
        <v>3</v>
      </c>
      <c r="BR35" s="63">
        <f t="shared" si="1"/>
        <v>7</v>
      </c>
      <c r="BS35" s="28" t="s">
        <v>78</v>
      </c>
      <c r="BT35" s="28" t="s">
        <v>78</v>
      </c>
      <c r="BU35" s="29" t="s">
        <v>78</v>
      </c>
      <c r="BV35" s="24" t="s">
        <v>151</v>
      </c>
      <c r="BW35" s="25" t="s">
        <v>79</v>
      </c>
      <c r="BX35" s="25"/>
    </row>
    <row r="36" spans="1:76" ht="51" x14ac:dyDescent="0.3">
      <c r="A36" s="58">
        <v>35</v>
      </c>
      <c r="B36" s="58" t="s">
        <v>92</v>
      </c>
      <c r="C36" s="58" t="s">
        <v>15</v>
      </c>
      <c r="D36" s="58" t="s">
        <v>89</v>
      </c>
      <c r="E36" s="59" t="s">
        <v>152</v>
      </c>
      <c r="F36" s="66">
        <v>3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6">
        <v>3</v>
      </c>
      <c r="O36" s="61"/>
      <c r="P36" s="67">
        <v>3</v>
      </c>
      <c r="Q36" s="61"/>
      <c r="R36" s="61"/>
      <c r="S36" s="61"/>
      <c r="T36" s="61"/>
      <c r="U36" s="61"/>
      <c r="V36" s="61"/>
      <c r="W36" s="61"/>
      <c r="X36" s="61"/>
      <c r="Y36" s="61">
        <v>1</v>
      </c>
      <c r="Z36" s="61"/>
      <c r="AA36" s="61"/>
      <c r="AB36" s="61"/>
      <c r="AC36" s="61"/>
      <c r="AD36" s="68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9"/>
      <c r="AU36" s="61"/>
      <c r="AV36" s="61"/>
      <c r="AW36" s="61"/>
      <c r="AX36" s="61"/>
      <c r="AY36" s="61"/>
      <c r="AZ36" s="61"/>
      <c r="BA36" s="61"/>
      <c r="BB36" s="61">
        <v>2</v>
      </c>
      <c r="BC36" s="61"/>
      <c r="BD36" s="61"/>
      <c r="BE36" s="61"/>
      <c r="BF36" s="61"/>
      <c r="BG36" s="61"/>
      <c r="BH36" s="61">
        <v>3</v>
      </c>
      <c r="BI36" s="61"/>
      <c r="BJ36" s="61"/>
      <c r="BK36" s="68"/>
      <c r="BL36" s="68"/>
      <c r="BM36" s="68"/>
      <c r="BN36" s="68">
        <v>1</v>
      </c>
      <c r="BO36" s="68"/>
      <c r="BP36" s="63">
        <f t="shared" si="2"/>
        <v>5</v>
      </c>
      <c r="BQ36" s="63">
        <f t="shared" si="0"/>
        <v>1</v>
      </c>
      <c r="BR36" s="63">
        <f t="shared" si="1"/>
        <v>6</v>
      </c>
      <c r="BS36" s="28" t="s">
        <v>78</v>
      </c>
      <c r="BT36" s="28" t="s">
        <v>78</v>
      </c>
      <c r="BU36" s="29" t="s">
        <v>78</v>
      </c>
      <c r="BV36" s="39" t="s">
        <v>149</v>
      </c>
      <c r="BW36" s="25" t="s">
        <v>79</v>
      </c>
      <c r="BX36" s="25"/>
    </row>
    <row r="37" spans="1:76" ht="40.799999999999997" x14ac:dyDescent="0.3">
      <c r="A37" s="58">
        <v>36</v>
      </c>
      <c r="B37" s="58" t="s">
        <v>92</v>
      </c>
      <c r="C37" s="58" t="s">
        <v>41</v>
      </c>
      <c r="D37" s="58" t="s">
        <v>81</v>
      </c>
      <c r="E37" s="59" t="s">
        <v>153</v>
      </c>
      <c r="F37" s="70">
        <v>3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70">
        <v>3</v>
      </c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8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4"/>
      <c r="AQ37" s="61"/>
      <c r="AR37" s="67">
        <v>5</v>
      </c>
      <c r="AS37" s="61"/>
      <c r="AT37" s="61"/>
      <c r="AU37" s="61"/>
      <c r="AV37" s="61"/>
      <c r="AW37" s="4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>
        <v>5</v>
      </c>
      <c r="BJ37" s="61"/>
      <c r="BK37" s="68"/>
      <c r="BL37" s="68">
        <v>1</v>
      </c>
      <c r="BM37" s="68"/>
      <c r="BN37" s="68"/>
      <c r="BO37" s="68"/>
      <c r="BP37" s="63">
        <f t="shared" si="2"/>
        <v>5</v>
      </c>
      <c r="BQ37" s="63">
        <f t="shared" si="0"/>
        <v>1</v>
      </c>
      <c r="BR37" s="63">
        <f t="shared" si="1"/>
        <v>6</v>
      </c>
      <c r="BS37" s="71" t="s">
        <v>154</v>
      </c>
      <c r="BT37" s="71" t="s">
        <v>78</v>
      </c>
      <c r="BU37" s="72" t="s">
        <v>78</v>
      </c>
      <c r="BV37" s="39" t="s">
        <v>155</v>
      </c>
      <c r="BW37" s="25" t="s">
        <v>79</v>
      </c>
      <c r="BX37" s="25"/>
    </row>
    <row r="38" spans="1:76" ht="41.4" thickBot="1" x14ac:dyDescent="0.35">
      <c r="A38" s="58">
        <v>37</v>
      </c>
      <c r="B38" s="58" t="s">
        <v>92</v>
      </c>
      <c r="C38" s="58" t="s">
        <v>41</v>
      </c>
      <c r="D38" s="58" t="s">
        <v>81</v>
      </c>
      <c r="E38" s="59" t="s">
        <v>156</v>
      </c>
      <c r="F38" s="66">
        <v>3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6">
        <v>3</v>
      </c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8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7">
        <v>3</v>
      </c>
      <c r="AR38" s="61"/>
      <c r="AS38" s="61"/>
      <c r="AT38" s="61"/>
      <c r="AU38" s="61"/>
      <c r="AV38" s="61"/>
      <c r="AW38" s="61"/>
      <c r="AX38" s="61"/>
      <c r="AY38" s="61">
        <v>1</v>
      </c>
      <c r="AZ38" s="61"/>
      <c r="BA38" s="61"/>
      <c r="BB38" s="61">
        <v>1</v>
      </c>
      <c r="BC38" s="61"/>
      <c r="BD38" s="61"/>
      <c r="BE38" s="61"/>
      <c r="BF38" s="61"/>
      <c r="BG38" s="61"/>
      <c r="BH38" s="61">
        <v>3</v>
      </c>
      <c r="BI38" s="61"/>
      <c r="BJ38" s="61"/>
      <c r="BK38" s="68"/>
      <c r="BL38" s="68"/>
      <c r="BM38" s="68"/>
      <c r="BN38" s="68"/>
      <c r="BO38" s="68">
        <v>5</v>
      </c>
      <c r="BP38" s="63">
        <f t="shared" si="2"/>
        <v>4</v>
      </c>
      <c r="BQ38" s="63">
        <f t="shared" si="0"/>
        <v>5</v>
      </c>
      <c r="BR38" s="63">
        <f t="shared" si="1"/>
        <v>9</v>
      </c>
      <c r="BS38" s="28" t="s">
        <v>78</v>
      </c>
      <c r="BT38" s="28" t="s">
        <v>78</v>
      </c>
      <c r="BU38" s="29" t="s">
        <v>78</v>
      </c>
      <c r="BV38" s="39" t="s">
        <v>157</v>
      </c>
      <c r="BW38" s="25" t="s">
        <v>79</v>
      </c>
      <c r="BX38" s="25"/>
    </row>
    <row r="39" spans="1:76" ht="21" thickBot="1" x14ac:dyDescent="0.35">
      <c r="A39" s="58">
        <v>38</v>
      </c>
      <c r="B39" s="13" t="s">
        <v>74</v>
      </c>
      <c r="C39" s="58" t="s">
        <v>29</v>
      </c>
      <c r="D39" s="58" t="s">
        <v>115</v>
      </c>
      <c r="E39" s="59" t="s">
        <v>158</v>
      </c>
      <c r="F39" s="66">
        <v>3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6">
        <v>3</v>
      </c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8">
        <v>5</v>
      </c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>
        <v>5</v>
      </c>
      <c r="BJ39" s="61"/>
      <c r="BK39" s="68"/>
      <c r="BL39" s="68"/>
      <c r="BM39" s="68"/>
      <c r="BN39" s="68">
        <v>1</v>
      </c>
      <c r="BO39" s="68"/>
      <c r="BP39" s="63">
        <f t="shared" si="2"/>
        <v>5</v>
      </c>
      <c r="BQ39" s="63">
        <f t="shared" si="0"/>
        <v>1</v>
      </c>
      <c r="BR39" s="63">
        <f t="shared" si="1"/>
        <v>6</v>
      </c>
      <c r="BS39" s="71" t="s">
        <v>105</v>
      </c>
      <c r="BT39" s="71" t="s">
        <v>105</v>
      </c>
      <c r="BU39" s="72" t="s">
        <v>105</v>
      </c>
      <c r="BV39" s="24"/>
      <c r="BW39" s="25" t="s">
        <v>79</v>
      </c>
      <c r="BX39" s="25"/>
    </row>
    <row r="40" spans="1:76" ht="21" thickBot="1" x14ac:dyDescent="0.35">
      <c r="A40" s="58">
        <v>39</v>
      </c>
      <c r="B40" s="13" t="s">
        <v>74</v>
      </c>
      <c r="C40" s="58" t="s">
        <v>33</v>
      </c>
      <c r="D40" s="58" t="s">
        <v>75</v>
      </c>
      <c r="E40" s="59" t="s">
        <v>159</v>
      </c>
      <c r="F40" s="70">
        <v>5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70">
        <v>5</v>
      </c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8"/>
      <c r="AE40" s="61"/>
      <c r="AF40" s="61"/>
      <c r="AG40" s="61"/>
      <c r="AH40" s="61"/>
      <c r="AI40" s="67">
        <v>5</v>
      </c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>
        <v>5</v>
      </c>
      <c r="BJ40" s="61"/>
      <c r="BK40" s="68"/>
      <c r="BL40" s="68"/>
      <c r="BM40" s="68"/>
      <c r="BN40" s="68">
        <v>1</v>
      </c>
      <c r="BO40" s="68"/>
      <c r="BP40" s="63">
        <f t="shared" si="2"/>
        <v>5</v>
      </c>
      <c r="BQ40" s="63">
        <f t="shared" si="0"/>
        <v>1</v>
      </c>
      <c r="BR40" s="63">
        <f t="shared" si="1"/>
        <v>6</v>
      </c>
      <c r="BS40" s="71" t="s">
        <v>78</v>
      </c>
      <c r="BT40" s="71" t="s">
        <v>78</v>
      </c>
      <c r="BU40" s="72" t="s">
        <v>78</v>
      </c>
      <c r="BV40" s="25" t="s">
        <v>106</v>
      </c>
      <c r="BW40" s="25" t="s">
        <v>79</v>
      </c>
      <c r="BX40" s="25"/>
    </row>
    <row r="41" spans="1:76" ht="83.4" thickBot="1" x14ac:dyDescent="0.35">
      <c r="A41" s="58">
        <v>40</v>
      </c>
      <c r="B41" s="13" t="s">
        <v>74</v>
      </c>
      <c r="C41" s="58" t="s">
        <v>17</v>
      </c>
      <c r="D41" s="58" t="s">
        <v>89</v>
      </c>
      <c r="E41" s="59" t="s">
        <v>160</v>
      </c>
      <c r="F41" s="66">
        <v>3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6">
        <v>3</v>
      </c>
      <c r="O41" s="61"/>
      <c r="P41" s="61"/>
      <c r="Q41" s="61"/>
      <c r="R41" s="73">
        <v>3</v>
      </c>
      <c r="S41" s="61"/>
      <c r="T41" s="61"/>
      <c r="U41" s="61"/>
      <c r="V41" s="61"/>
      <c r="W41" s="61"/>
      <c r="X41" s="61"/>
      <c r="Y41" s="61">
        <v>1</v>
      </c>
      <c r="Z41" s="61"/>
      <c r="AA41" s="61"/>
      <c r="AB41" s="61"/>
      <c r="AC41" s="61"/>
      <c r="AD41" s="68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30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>
        <v>1</v>
      </c>
      <c r="BC41" s="61"/>
      <c r="BD41" s="61"/>
      <c r="BE41" s="61"/>
      <c r="BF41" s="61"/>
      <c r="BG41" s="61"/>
      <c r="BH41" s="61">
        <v>3</v>
      </c>
      <c r="BI41" s="4"/>
      <c r="BJ41" s="61"/>
      <c r="BK41" s="68"/>
      <c r="BL41" s="68"/>
      <c r="BM41" s="68"/>
      <c r="BN41" s="68">
        <v>1</v>
      </c>
      <c r="BO41" s="68">
        <v>5</v>
      </c>
      <c r="BP41" s="63">
        <f t="shared" si="2"/>
        <v>4</v>
      </c>
      <c r="BQ41" s="63">
        <f t="shared" si="0"/>
        <v>6</v>
      </c>
      <c r="BR41" s="63">
        <f t="shared" si="1"/>
        <v>10</v>
      </c>
      <c r="BS41" s="71" t="s">
        <v>78</v>
      </c>
      <c r="BT41" s="71" t="s">
        <v>78</v>
      </c>
      <c r="BU41" s="72" t="s">
        <v>78</v>
      </c>
      <c r="BV41" s="24" t="s">
        <v>161</v>
      </c>
      <c r="BW41" s="25" t="s">
        <v>79</v>
      </c>
      <c r="BX41" s="30"/>
    </row>
    <row r="42" spans="1:76" ht="51" x14ac:dyDescent="0.3">
      <c r="A42" s="58">
        <v>41</v>
      </c>
      <c r="B42" s="58" t="s">
        <v>92</v>
      </c>
      <c r="C42" s="58" t="s">
        <v>20</v>
      </c>
      <c r="D42" s="58" t="s">
        <v>89</v>
      </c>
      <c r="E42" s="59" t="s">
        <v>162</v>
      </c>
      <c r="F42" s="66">
        <v>3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6">
        <v>3</v>
      </c>
      <c r="O42" s="61"/>
      <c r="P42" s="61"/>
      <c r="Q42" s="61"/>
      <c r="R42" s="61"/>
      <c r="S42" s="61"/>
      <c r="T42" s="61"/>
      <c r="U42" s="67">
        <v>3</v>
      </c>
      <c r="V42" s="61"/>
      <c r="W42" s="61"/>
      <c r="X42" s="61"/>
      <c r="Y42" s="61"/>
      <c r="Z42" s="61"/>
      <c r="AA42" s="61"/>
      <c r="AB42" s="61"/>
      <c r="AC42" s="61"/>
      <c r="AD42" s="68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>
        <v>1</v>
      </c>
      <c r="BC42" s="61"/>
      <c r="BD42" s="61"/>
      <c r="BE42" s="61"/>
      <c r="BF42" s="61"/>
      <c r="BG42" s="61"/>
      <c r="BH42" s="61"/>
      <c r="BI42" s="61"/>
      <c r="BJ42" s="61"/>
      <c r="BK42" s="68"/>
      <c r="BL42" s="68"/>
      <c r="BM42" s="68">
        <v>3</v>
      </c>
      <c r="BN42" s="68"/>
      <c r="BO42" s="68"/>
      <c r="BP42" s="63">
        <f t="shared" si="2"/>
        <v>1</v>
      </c>
      <c r="BQ42" s="63">
        <f t="shared" si="0"/>
        <v>3</v>
      </c>
      <c r="BR42" s="63">
        <f t="shared" si="1"/>
        <v>4</v>
      </c>
      <c r="BS42" s="28" t="s">
        <v>78</v>
      </c>
      <c r="BT42" s="28" t="s">
        <v>78</v>
      </c>
      <c r="BU42" s="29" t="s">
        <v>78</v>
      </c>
      <c r="BV42" s="24" t="s">
        <v>163</v>
      </c>
      <c r="BW42" s="25" t="s">
        <v>79</v>
      </c>
      <c r="BX42" s="25"/>
    </row>
    <row r="43" spans="1:76" ht="51" x14ac:dyDescent="0.3">
      <c r="A43" s="58">
        <v>42</v>
      </c>
      <c r="B43" s="58" t="s">
        <v>92</v>
      </c>
      <c r="C43" s="58" t="s">
        <v>19</v>
      </c>
      <c r="D43" s="58" t="s">
        <v>89</v>
      </c>
      <c r="E43" s="59" t="s">
        <v>164</v>
      </c>
      <c r="F43" s="66">
        <v>3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6">
        <v>3</v>
      </c>
      <c r="O43" s="61"/>
      <c r="P43" s="61"/>
      <c r="Q43" s="61"/>
      <c r="R43" s="61"/>
      <c r="S43" s="61"/>
      <c r="T43" s="67">
        <v>3</v>
      </c>
      <c r="U43" s="61">
        <v>1</v>
      </c>
      <c r="V43" s="61"/>
      <c r="W43" s="61"/>
      <c r="X43" s="61"/>
      <c r="Y43" s="61"/>
      <c r="Z43" s="61"/>
      <c r="AA43" s="61"/>
      <c r="AB43" s="61"/>
      <c r="AC43" s="61"/>
      <c r="AD43" s="68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>
        <v>3</v>
      </c>
      <c r="AZ43" s="61"/>
      <c r="BA43" s="61"/>
      <c r="BB43" s="61">
        <v>1</v>
      </c>
      <c r="BC43" s="61"/>
      <c r="BD43" s="61"/>
      <c r="BE43" s="61"/>
      <c r="BF43" s="61"/>
      <c r="BG43" s="61">
        <v>3</v>
      </c>
      <c r="BH43" s="61">
        <v>3</v>
      </c>
      <c r="BI43" s="61"/>
      <c r="BJ43" s="61"/>
      <c r="BK43" s="68"/>
      <c r="BL43" s="68"/>
      <c r="BM43" s="68"/>
      <c r="BN43" s="68"/>
      <c r="BO43" s="68">
        <v>5</v>
      </c>
      <c r="BP43" s="63">
        <f t="shared" si="2"/>
        <v>7</v>
      </c>
      <c r="BQ43" s="63">
        <f t="shared" si="0"/>
        <v>5</v>
      </c>
      <c r="BR43" s="63">
        <f t="shared" si="1"/>
        <v>12</v>
      </c>
      <c r="BS43" s="71" t="s">
        <v>78</v>
      </c>
      <c r="BT43" s="71" t="s">
        <v>78</v>
      </c>
      <c r="BU43" s="72" t="s">
        <v>78</v>
      </c>
      <c r="BV43" s="39" t="s">
        <v>165</v>
      </c>
      <c r="BW43" s="25" t="s">
        <v>79</v>
      </c>
      <c r="BX43" s="25"/>
    </row>
    <row r="44" spans="1:76" ht="31.8" x14ac:dyDescent="0.3">
      <c r="A44" s="58">
        <v>43</v>
      </c>
      <c r="B44" s="58" t="s">
        <v>92</v>
      </c>
      <c r="C44" s="58" t="s">
        <v>15</v>
      </c>
      <c r="D44" s="58" t="s">
        <v>89</v>
      </c>
      <c r="E44" s="59" t="s">
        <v>166</v>
      </c>
      <c r="F44" s="74">
        <v>3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74">
        <v>3</v>
      </c>
      <c r="O44" s="48"/>
      <c r="P44" s="75">
        <v>3</v>
      </c>
      <c r="Q44" s="48"/>
      <c r="R44" s="61"/>
      <c r="S44" s="61"/>
      <c r="T44" s="61"/>
      <c r="U44" s="61"/>
      <c r="V44" s="61"/>
      <c r="W44" s="61"/>
      <c r="X44" s="61"/>
      <c r="Y44" s="61">
        <v>1</v>
      </c>
      <c r="Z44" s="61"/>
      <c r="AA44" s="61"/>
      <c r="AB44" s="61"/>
      <c r="AC44" s="61"/>
      <c r="AD44" s="48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>
        <v>1</v>
      </c>
      <c r="BC44" s="61"/>
      <c r="BD44" s="61"/>
      <c r="BE44" s="61"/>
      <c r="BF44" s="61"/>
      <c r="BG44" s="61"/>
      <c r="BH44" s="61">
        <v>3</v>
      </c>
      <c r="BI44" s="61"/>
      <c r="BJ44" s="61"/>
      <c r="BK44" s="48"/>
      <c r="BL44" s="48"/>
      <c r="BM44" s="48"/>
      <c r="BN44" s="48"/>
      <c r="BO44" s="48">
        <v>5</v>
      </c>
      <c r="BP44" s="63">
        <f t="shared" si="2"/>
        <v>4</v>
      </c>
      <c r="BQ44" s="63">
        <f t="shared" si="0"/>
        <v>5</v>
      </c>
      <c r="BR44" s="63">
        <f t="shared" si="1"/>
        <v>9</v>
      </c>
      <c r="BS44" s="71" t="s">
        <v>78</v>
      </c>
      <c r="BT44" s="71" t="s">
        <v>78</v>
      </c>
      <c r="BU44" s="72" t="s">
        <v>78</v>
      </c>
      <c r="BV44" s="24" t="s">
        <v>167</v>
      </c>
      <c r="BW44" s="25" t="s">
        <v>79</v>
      </c>
      <c r="BX44" s="25"/>
    </row>
    <row r="45" spans="1:76" ht="71.400000000000006" x14ac:dyDescent="0.3">
      <c r="A45" s="58">
        <v>44</v>
      </c>
      <c r="B45" s="58" t="s">
        <v>92</v>
      </c>
      <c r="C45" s="58" t="s">
        <v>15</v>
      </c>
      <c r="D45" s="58" t="s">
        <v>89</v>
      </c>
      <c r="E45" s="59" t="s">
        <v>168</v>
      </c>
      <c r="F45" s="76">
        <v>1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76">
        <v>1</v>
      </c>
      <c r="O45" s="48"/>
      <c r="P45" s="75">
        <v>3</v>
      </c>
      <c r="Q45" s="48"/>
      <c r="R45" s="48"/>
      <c r="S45" s="48"/>
      <c r="T45" s="48"/>
      <c r="U45" s="48"/>
      <c r="V45" s="48"/>
      <c r="W45" s="48"/>
      <c r="X45" s="48"/>
      <c r="Y45" s="48">
        <v>1</v>
      </c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>
        <v>1</v>
      </c>
      <c r="BC45" s="48"/>
      <c r="BD45" s="48"/>
      <c r="BE45" s="48"/>
      <c r="BF45" s="48"/>
      <c r="BG45" s="48"/>
      <c r="BH45" s="48">
        <v>3</v>
      </c>
      <c r="BI45" s="48"/>
      <c r="BJ45" s="48"/>
      <c r="BK45" s="48"/>
      <c r="BL45" s="48"/>
      <c r="BM45" s="48"/>
      <c r="BN45" s="48"/>
      <c r="BO45" s="48">
        <v>5</v>
      </c>
      <c r="BP45" s="63">
        <f t="shared" si="2"/>
        <v>4</v>
      </c>
      <c r="BQ45" s="63">
        <f t="shared" si="0"/>
        <v>5</v>
      </c>
      <c r="BR45" s="63">
        <f t="shared" si="1"/>
        <v>9</v>
      </c>
      <c r="BS45" s="71" t="s">
        <v>78</v>
      </c>
      <c r="BT45" s="71" t="s">
        <v>78</v>
      </c>
      <c r="BU45" s="29" t="s">
        <v>78</v>
      </c>
      <c r="BV45" s="24" t="s">
        <v>167</v>
      </c>
      <c r="BW45" s="25" t="s">
        <v>79</v>
      </c>
      <c r="BX45" s="25"/>
    </row>
    <row r="46" spans="1:76" ht="93" x14ac:dyDescent="0.3">
      <c r="A46" s="58">
        <v>45</v>
      </c>
      <c r="B46" s="58" t="s">
        <v>84</v>
      </c>
      <c r="C46" s="58" t="s">
        <v>20</v>
      </c>
      <c r="D46" s="58" t="s">
        <v>89</v>
      </c>
      <c r="E46" s="59" t="s">
        <v>169</v>
      </c>
      <c r="F46" s="74">
        <v>3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74">
        <v>3</v>
      </c>
      <c r="O46" s="48"/>
      <c r="P46" s="48"/>
      <c r="Q46" s="48"/>
      <c r="R46" s="48"/>
      <c r="S46" s="48"/>
      <c r="T46" s="48"/>
      <c r="U46" s="75">
        <v>3</v>
      </c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>
        <v>1</v>
      </c>
      <c r="AZ46" s="48"/>
      <c r="BA46" s="48"/>
      <c r="BB46" s="48">
        <v>1</v>
      </c>
      <c r="BC46" s="48"/>
      <c r="BD46" s="48"/>
      <c r="BE46" s="48"/>
      <c r="BF46" s="48"/>
      <c r="BG46" s="48">
        <v>3</v>
      </c>
      <c r="BH46" s="48"/>
      <c r="BI46" s="48"/>
      <c r="BJ46" s="48"/>
      <c r="BK46" s="48"/>
      <c r="BL46" s="48">
        <v>1</v>
      </c>
      <c r="BM46" s="48"/>
      <c r="BN46" s="48">
        <v>1</v>
      </c>
      <c r="BO46" s="48"/>
      <c r="BP46" s="63">
        <f t="shared" si="2"/>
        <v>4</v>
      </c>
      <c r="BQ46" s="63">
        <f t="shared" si="0"/>
        <v>2</v>
      </c>
      <c r="BR46" s="63">
        <f t="shared" si="1"/>
        <v>6</v>
      </c>
      <c r="BS46" s="28" t="s">
        <v>78</v>
      </c>
      <c r="BT46" s="28" t="s">
        <v>78</v>
      </c>
      <c r="BU46" s="29" t="s">
        <v>78</v>
      </c>
      <c r="BV46" s="24" t="s">
        <v>170</v>
      </c>
      <c r="BW46" s="25" t="s">
        <v>79</v>
      </c>
      <c r="BX46" s="25"/>
    </row>
    <row r="47" spans="1:76" ht="51.6" thickBot="1" x14ac:dyDescent="0.35">
      <c r="A47" s="58">
        <v>46</v>
      </c>
      <c r="B47" s="58" t="s">
        <v>92</v>
      </c>
      <c r="C47" s="58" t="s">
        <v>37</v>
      </c>
      <c r="D47" s="58" t="s">
        <v>75</v>
      </c>
      <c r="E47" s="59" t="s">
        <v>171</v>
      </c>
      <c r="F47" s="48">
        <v>3</v>
      </c>
      <c r="G47" s="64">
        <v>0</v>
      </c>
      <c r="H47" s="64">
        <v>0</v>
      </c>
      <c r="I47" s="64">
        <v>0</v>
      </c>
      <c r="J47" s="64">
        <v>0</v>
      </c>
      <c r="K47" s="65">
        <v>0</v>
      </c>
      <c r="L47" s="65">
        <v>0</v>
      </c>
      <c r="M47" s="64">
        <v>0</v>
      </c>
      <c r="N47" s="65">
        <v>3</v>
      </c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4"/>
      <c r="AD47" s="68"/>
      <c r="AE47" s="68"/>
      <c r="AF47" s="68"/>
      <c r="AG47" s="68"/>
      <c r="AH47" s="68"/>
      <c r="AI47" s="68"/>
      <c r="AJ47" s="68"/>
      <c r="AK47" s="68"/>
      <c r="AL47" s="68"/>
      <c r="AM47" s="77">
        <v>3</v>
      </c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>
        <v>3</v>
      </c>
      <c r="BI47" s="68"/>
      <c r="BJ47" s="68"/>
      <c r="BK47" s="68"/>
      <c r="BL47" s="68">
        <v>1</v>
      </c>
      <c r="BM47" s="68"/>
      <c r="BN47" s="68"/>
      <c r="BO47" s="68"/>
      <c r="BP47" s="63">
        <f t="shared" si="2"/>
        <v>3</v>
      </c>
      <c r="BQ47" s="63">
        <f t="shared" si="0"/>
        <v>1</v>
      </c>
      <c r="BR47" s="63">
        <f t="shared" si="1"/>
        <v>4</v>
      </c>
      <c r="BS47" s="28" t="s">
        <v>78</v>
      </c>
      <c r="BT47" s="28" t="s">
        <v>78</v>
      </c>
      <c r="BU47" s="29" t="s">
        <v>78</v>
      </c>
      <c r="BV47" s="24"/>
      <c r="BW47" s="30" t="s">
        <v>86</v>
      </c>
      <c r="BX47" s="30" t="s">
        <v>87</v>
      </c>
    </row>
    <row r="48" spans="1:76" ht="21" thickBot="1" x14ac:dyDescent="0.35">
      <c r="A48" s="58">
        <v>47</v>
      </c>
      <c r="B48" s="13" t="s">
        <v>74</v>
      </c>
      <c r="C48" s="58" t="s">
        <v>32</v>
      </c>
      <c r="D48" s="58" t="s">
        <v>75</v>
      </c>
      <c r="E48" s="59" t="s">
        <v>172</v>
      </c>
      <c r="F48" s="74">
        <v>5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74">
        <v>5</v>
      </c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75">
        <v>5</v>
      </c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>
        <v>5</v>
      </c>
      <c r="BJ48" s="48"/>
      <c r="BK48" s="48"/>
      <c r="BL48" s="48"/>
      <c r="BM48" s="48"/>
      <c r="BN48" s="48">
        <v>1</v>
      </c>
      <c r="BO48" s="48"/>
      <c r="BP48" s="63">
        <f t="shared" si="2"/>
        <v>5</v>
      </c>
      <c r="BQ48" s="63">
        <f t="shared" si="0"/>
        <v>1</v>
      </c>
      <c r="BR48" s="63">
        <f t="shared" si="1"/>
        <v>6</v>
      </c>
      <c r="BS48" s="28" t="s">
        <v>78</v>
      </c>
      <c r="BT48" s="28" t="s">
        <v>78</v>
      </c>
      <c r="BU48" s="29" t="s">
        <v>78</v>
      </c>
      <c r="BV48" s="25" t="s">
        <v>106</v>
      </c>
      <c r="BW48" s="25" t="s">
        <v>79</v>
      </c>
      <c r="BX48" s="25"/>
    </row>
    <row r="49" spans="1:76" ht="30.6" x14ac:dyDescent="0.3">
      <c r="A49" s="60">
        <v>48</v>
      </c>
      <c r="B49" s="60" t="s">
        <v>173</v>
      </c>
      <c r="C49" s="78" t="s">
        <v>16</v>
      </c>
      <c r="D49" s="78" t="s">
        <v>174</v>
      </c>
      <c r="E49" s="59" t="s">
        <v>175</v>
      </c>
      <c r="F49" s="48">
        <v>5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48">
        <v>5</v>
      </c>
      <c r="O49" s="68"/>
      <c r="P49" s="68"/>
      <c r="Q49" s="77">
        <v>1</v>
      </c>
      <c r="R49" s="68">
        <v>3</v>
      </c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>
        <v>1</v>
      </c>
      <c r="BC49" s="68"/>
      <c r="BD49" s="68"/>
      <c r="BE49" s="68"/>
      <c r="BF49" s="68"/>
      <c r="BG49" s="68"/>
      <c r="BH49" s="68">
        <v>3</v>
      </c>
      <c r="BI49" s="68"/>
      <c r="BJ49" s="68"/>
      <c r="BK49" s="68"/>
      <c r="BL49" s="68"/>
      <c r="BM49" s="68"/>
      <c r="BN49" s="68">
        <v>1</v>
      </c>
      <c r="BO49" s="68"/>
      <c r="BP49" s="63">
        <f t="shared" si="2"/>
        <v>4</v>
      </c>
      <c r="BQ49" s="63">
        <f t="shared" si="0"/>
        <v>1</v>
      </c>
      <c r="BR49" s="63">
        <f t="shared" si="1"/>
        <v>5</v>
      </c>
      <c r="BS49" s="79" t="s">
        <v>77</v>
      </c>
      <c r="BT49" s="79" t="s">
        <v>77</v>
      </c>
      <c r="BU49" s="72" t="s">
        <v>78</v>
      </c>
      <c r="BV49" s="25"/>
      <c r="BW49" s="25" t="s">
        <v>79</v>
      </c>
      <c r="BX49" s="25" t="s">
        <v>176</v>
      </c>
    </row>
    <row r="50" spans="1:76" ht="30.6" x14ac:dyDescent="0.3">
      <c r="A50" s="60">
        <v>49</v>
      </c>
      <c r="B50" s="60" t="s">
        <v>173</v>
      </c>
      <c r="C50" s="78" t="s">
        <v>16</v>
      </c>
      <c r="D50" s="78" t="s">
        <v>174</v>
      </c>
      <c r="E50" s="59" t="s">
        <v>177</v>
      </c>
      <c r="F50" s="48">
        <v>5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48">
        <v>5</v>
      </c>
      <c r="O50" s="68"/>
      <c r="P50" s="68"/>
      <c r="Q50" s="77">
        <v>1</v>
      </c>
      <c r="R50" s="68"/>
      <c r="S50" s="68">
        <v>3</v>
      </c>
      <c r="T50" s="68"/>
      <c r="U50" s="68"/>
      <c r="V50" s="68"/>
      <c r="W50" s="68"/>
      <c r="X50" s="4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>
        <v>1</v>
      </c>
      <c r="BC50" s="68"/>
      <c r="BD50" s="68"/>
      <c r="BE50" s="68"/>
      <c r="BF50" s="68"/>
      <c r="BG50" s="68">
        <v>3</v>
      </c>
      <c r="BH50" s="68"/>
      <c r="BI50" s="68"/>
      <c r="BJ50" s="20"/>
      <c r="BK50" s="44"/>
      <c r="BL50" s="68">
        <v>1</v>
      </c>
      <c r="BM50" s="68"/>
      <c r="BN50" s="68"/>
      <c r="BO50" s="68"/>
      <c r="BP50" s="63">
        <f>SUM(BA50:BI50)</f>
        <v>4</v>
      </c>
      <c r="BQ50" s="63">
        <f t="shared" si="0"/>
        <v>1</v>
      </c>
      <c r="BR50" s="63">
        <f t="shared" si="1"/>
        <v>5</v>
      </c>
      <c r="BS50" s="79" t="s">
        <v>77</v>
      </c>
      <c r="BT50" s="79" t="s">
        <v>77</v>
      </c>
      <c r="BU50" s="72" t="s">
        <v>78</v>
      </c>
      <c r="BV50" s="24"/>
      <c r="BW50" s="25" t="s">
        <v>178</v>
      </c>
      <c r="BX50" s="25" t="s">
        <v>80</v>
      </c>
    </row>
    <row r="51" spans="1:76" ht="20.399999999999999" x14ac:dyDescent="0.3">
      <c r="A51" s="60">
        <v>50</v>
      </c>
      <c r="B51" s="60" t="s">
        <v>173</v>
      </c>
      <c r="C51" s="78" t="s">
        <v>16</v>
      </c>
      <c r="D51" s="78" t="s">
        <v>174</v>
      </c>
      <c r="E51" s="59" t="s">
        <v>179</v>
      </c>
      <c r="F51" s="48">
        <v>5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48">
        <v>5</v>
      </c>
      <c r="O51" s="68"/>
      <c r="P51" s="68"/>
      <c r="Q51" s="77">
        <v>1</v>
      </c>
      <c r="R51" s="68"/>
      <c r="S51" s="68">
        <v>3</v>
      </c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>
        <v>1</v>
      </c>
      <c r="BC51" s="68"/>
      <c r="BD51" s="68"/>
      <c r="BE51" s="68"/>
      <c r="BF51" s="68"/>
      <c r="BG51" s="68">
        <v>3</v>
      </c>
      <c r="BH51" s="68"/>
      <c r="BI51" s="68"/>
      <c r="BJ51" s="20"/>
      <c r="BK51" s="68"/>
      <c r="BL51" s="68">
        <v>1</v>
      </c>
      <c r="BM51" s="68"/>
      <c r="BN51" s="68"/>
      <c r="BO51" s="68"/>
      <c r="BP51" s="63">
        <f t="shared" ref="BP51:BP73" si="6">SUM(BA51:BK51)</f>
        <v>4</v>
      </c>
      <c r="BQ51" s="63">
        <f t="shared" si="0"/>
        <v>1</v>
      </c>
      <c r="BR51" s="63">
        <f t="shared" si="1"/>
        <v>5</v>
      </c>
      <c r="BS51" s="79" t="s">
        <v>77</v>
      </c>
      <c r="BT51" s="79" t="s">
        <v>77</v>
      </c>
      <c r="BU51" s="72" t="s">
        <v>78</v>
      </c>
      <c r="BV51" s="24"/>
      <c r="BW51" s="25" t="s">
        <v>178</v>
      </c>
      <c r="BX51" s="25" t="s">
        <v>80</v>
      </c>
    </row>
    <row r="52" spans="1:76" ht="20.399999999999999" x14ac:dyDescent="0.3">
      <c r="A52" s="60">
        <v>51</v>
      </c>
      <c r="B52" s="60" t="s">
        <v>173</v>
      </c>
      <c r="C52" s="78" t="s">
        <v>14</v>
      </c>
      <c r="D52" s="78" t="s">
        <v>174</v>
      </c>
      <c r="E52" s="59" t="s">
        <v>180</v>
      </c>
      <c r="F52" s="48">
        <v>5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48">
        <v>5</v>
      </c>
      <c r="O52" s="77">
        <v>1</v>
      </c>
      <c r="P52" s="68"/>
      <c r="Q52" s="68"/>
      <c r="R52" s="68"/>
      <c r="S52" s="44"/>
      <c r="T52" s="68"/>
      <c r="U52" s="68"/>
      <c r="V52" s="68"/>
      <c r="W52" s="68">
        <v>3</v>
      </c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>
        <v>1</v>
      </c>
      <c r="BC52" s="68"/>
      <c r="BD52" s="68"/>
      <c r="BE52" s="68"/>
      <c r="BF52" s="68"/>
      <c r="BG52" s="68">
        <v>3</v>
      </c>
      <c r="BH52" s="68"/>
      <c r="BI52" s="68"/>
      <c r="BJ52" s="68"/>
      <c r="BK52" s="44"/>
      <c r="BL52" s="68"/>
      <c r="BM52" s="68"/>
      <c r="BN52" s="68">
        <v>1</v>
      </c>
      <c r="BO52" s="68"/>
      <c r="BP52" s="63">
        <f t="shared" si="6"/>
        <v>4</v>
      </c>
      <c r="BQ52" s="63">
        <f t="shared" si="0"/>
        <v>1</v>
      </c>
      <c r="BR52" s="63">
        <f t="shared" si="1"/>
        <v>5</v>
      </c>
      <c r="BS52" s="79" t="s">
        <v>77</v>
      </c>
      <c r="BT52" s="79" t="s">
        <v>77</v>
      </c>
      <c r="BU52" s="72" t="s">
        <v>78</v>
      </c>
      <c r="BV52" s="24"/>
      <c r="BW52" s="25" t="s">
        <v>178</v>
      </c>
      <c r="BX52" s="25" t="s">
        <v>80</v>
      </c>
    </row>
    <row r="53" spans="1:76" ht="20.399999999999999" x14ac:dyDescent="0.3">
      <c r="A53" s="60">
        <v>52</v>
      </c>
      <c r="B53" s="60" t="s">
        <v>173</v>
      </c>
      <c r="C53" s="78" t="s">
        <v>18</v>
      </c>
      <c r="D53" s="78" t="s">
        <v>174</v>
      </c>
      <c r="E53" s="59" t="s">
        <v>181</v>
      </c>
      <c r="F53" s="48">
        <v>5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48">
        <v>5</v>
      </c>
      <c r="O53" s="68"/>
      <c r="P53" s="68"/>
      <c r="Q53" s="68"/>
      <c r="R53" s="68"/>
      <c r="S53" s="77">
        <v>1</v>
      </c>
      <c r="T53" s="68"/>
      <c r="U53" s="68"/>
      <c r="V53" s="68"/>
      <c r="W53" s="68">
        <v>3</v>
      </c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1"/>
      <c r="BB53" s="68">
        <v>1</v>
      </c>
      <c r="BC53" s="61"/>
      <c r="BD53" s="61"/>
      <c r="BE53" s="61"/>
      <c r="BF53" s="68"/>
      <c r="BG53" s="61">
        <v>3</v>
      </c>
      <c r="BH53" s="61"/>
      <c r="BI53" s="61"/>
      <c r="BJ53" s="61"/>
      <c r="BK53" s="68"/>
      <c r="BL53" s="68">
        <v>1</v>
      </c>
      <c r="BM53" s="68"/>
      <c r="BN53" s="68"/>
      <c r="BO53" s="68"/>
      <c r="BP53" s="63">
        <f t="shared" si="6"/>
        <v>4</v>
      </c>
      <c r="BQ53" s="63">
        <f t="shared" si="0"/>
        <v>1</v>
      </c>
      <c r="BR53" s="63">
        <f t="shared" si="1"/>
        <v>5</v>
      </c>
      <c r="BS53" s="79" t="s">
        <v>77</v>
      </c>
      <c r="BT53" s="79" t="s">
        <v>77</v>
      </c>
      <c r="BU53" s="72" t="s">
        <v>78</v>
      </c>
      <c r="BV53" s="24"/>
      <c r="BW53" s="25" t="s">
        <v>178</v>
      </c>
      <c r="BX53" s="25" t="s">
        <v>80</v>
      </c>
    </row>
    <row r="54" spans="1:76" ht="20.399999999999999" x14ac:dyDescent="0.3">
      <c r="A54" s="60">
        <v>53</v>
      </c>
      <c r="B54" s="60" t="s">
        <v>173</v>
      </c>
      <c r="C54" s="78" t="s">
        <v>20</v>
      </c>
      <c r="D54" s="78" t="s">
        <v>174</v>
      </c>
      <c r="E54" s="59" t="s">
        <v>182</v>
      </c>
      <c r="F54" s="48">
        <v>5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48">
        <v>5</v>
      </c>
      <c r="O54" s="68"/>
      <c r="P54" s="68"/>
      <c r="Q54" s="68"/>
      <c r="R54" s="68"/>
      <c r="S54" s="68"/>
      <c r="T54" s="68"/>
      <c r="U54" s="77">
        <v>1</v>
      </c>
      <c r="V54" s="68"/>
      <c r="W54" s="68">
        <v>3</v>
      </c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1"/>
      <c r="BB54" s="68">
        <v>1</v>
      </c>
      <c r="BC54" s="61"/>
      <c r="BD54" s="61"/>
      <c r="BE54" s="61"/>
      <c r="BF54" s="68"/>
      <c r="BG54" s="61">
        <v>3</v>
      </c>
      <c r="BH54" s="61"/>
      <c r="BI54" s="61"/>
      <c r="BJ54" s="61"/>
      <c r="BK54" s="68"/>
      <c r="BL54" s="68">
        <v>1</v>
      </c>
      <c r="BM54" s="68"/>
      <c r="BN54" s="68"/>
      <c r="BO54" s="68"/>
      <c r="BP54" s="63">
        <f t="shared" si="6"/>
        <v>4</v>
      </c>
      <c r="BQ54" s="63">
        <f t="shared" si="0"/>
        <v>1</v>
      </c>
      <c r="BR54" s="63">
        <f t="shared" si="1"/>
        <v>5</v>
      </c>
      <c r="BS54" s="79" t="s">
        <v>77</v>
      </c>
      <c r="BT54" s="79" t="s">
        <v>77</v>
      </c>
      <c r="BU54" s="72" t="s">
        <v>78</v>
      </c>
      <c r="BV54" s="24"/>
      <c r="BW54" s="25" t="s">
        <v>178</v>
      </c>
      <c r="BX54" s="25" t="s">
        <v>80</v>
      </c>
    </row>
    <row r="55" spans="1:76" ht="20.399999999999999" x14ac:dyDescent="0.3">
      <c r="A55" s="60">
        <v>54</v>
      </c>
      <c r="B55" s="60" t="s">
        <v>173</v>
      </c>
      <c r="C55" s="78" t="s">
        <v>19</v>
      </c>
      <c r="D55" s="78" t="s">
        <v>174</v>
      </c>
      <c r="E55" s="59" t="s">
        <v>183</v>
      </c>
      <c r="F55" s="48">
        <v>5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48">
        <v>5</v>
      </c>
      <c r="O55" s="68"/>
      <c r="P55" s="68"/>
      <c r="Q55" s="68"/>
      <c r="R55" s="68"/>
      <c r="S55" s="68"/>
      <c r="T55" s="77">
        <v>1</v>
      </c>
      <c r="U55" s="68"/>
      <c r="V55" s="68"/>
      <c r="W55" s="68">
        <v>3</v>
      </c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1"/>
      <c r="BB55" s="68">
        <v>1</v>
      </c>
      <c r="BC55" s="61"/>
      <c r="BD55" s="61"/>
      <c r="BE55" s="61"/>
      <c r="BF55" s="68"/>
      <c r="BG55" s="61">
        <v>3</v>
      </c>
      <c r="BH55" s="61"/>
      <c r="BI55" s="61"/>
      <c r="BJ55" s="61"/>
      <c r="BK55" s="68"/>
      <c r="BL55" s="68">
        <v>1</v>
      </c>
      <c r="BM55" s="68"/>
      <c r="BN55" s="68"/>
      <c r="BO55" s="68"/>
      <c r="BP55" s="63">
        <f t="shared" si="6"/>
        <v>4</v>
      </c>
      <c r="BQ55" s="63">
        <f t="shared" si="0"/>
        <v>1</v>
      </c>
      <c r="BR55" s="63">
        <f t="shared" si="1"/>
        <v>5</v>
      </c>
      <c r="BS55" s="79" t="s">
        <v>77</v>
      </c>
      <c r="BT55" s="79" t="s">
        <v>77</v>
      </c>
      <c r="BU55" s="72" t="s">
        <v>78</v>
      </c>
      <c r="BV55" s="24"/>
      <c r="BW55" s="25" t="s">
        <v>178</v>
      </c>
      <c r="BX55" s="25" t="s">
        <v>80</v>
      </c>
    </row>
    <row r="56" spans="1:76" ht="20.399999999999999" x14ac:dyDescent="0.3">
      <c r="A56" s="60">
        <v>55</v>
      </c>
      <c r="B56" s="60" t="s">
        <v>173</v>
      </c>
      <c r="C56" s="78" t="s">
        <v>20</v>
      </c>
      <c r="D56" s="78" t="s">
        <v>174</v>
      </c>
      <c r="E56" s="59" t="s">
        <v>184</v>
      </c>
      <c r="F56" s="48">
        <v>5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0</v>
      </c>
      <c r="N56" s="48">
        <v>5</v>
      </c>
      <c r="O56" s="68"/>
      <c r="P56" s="68"/>
      <c r="Q56" s="68"/>
      <c r="R56" s="68"/>
      <c r="S56" s="68"/>
      <c r="T56" s="68"/>
      <c r="U56" s="77">
        <v>1</v>
      </c>
      <c r="V56" s="68"/>
      <c r="W56" s="68">
        <v>3</v>
      </c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1"/>
      <c r="BB56" s="68">
        <v>1</v>
      </c>
      <c r="BC56" s="61"/>
      <c r="BD56" s="61"/>
      <c r="BE56" s="61"/>
      <c r="BF56" s="68"/>
      <c r="BG56" s="61">
        <v>3</v>
      </c>
      <c r="BH56" s="61"/>
      <c r="BI56" s="61"/>
      <c r="BJ56" s="61"/>
      <c r="BK56" s="68"/>
      <c r="BL56" s="68">
        <v>1</v>
      </c>
      <c r="BM56" s="68"/>
      <c r="BN56" s="68"/>
      <c r="BO56" s="68"/>
      <c r="BP56" s="63">
        <f t="shared" si="6"/>
        <v>4</v>
      </c>
      <c r="BQ56" s="63">
        <f t="shared" si="0"/>
        <v>1</v>
      </c>
      <c r="BR56" s="63">
        <f t="shared" si="1"/>
        <v>5</v>
      </c>
      <c r="BS56" s="79" t="s">
        <v>77</v>
      </c>
      <c r="BT56" s="79" t="s">
        <v>77</v>
      </c>
      <c r="BU56" s="72" t="s">
        <v>78</v>
      </c>
      <c r="BV56" s="24"/>
      <c r="BW56" s="25" t="s">
        <v>178</v>
      </c>
      <c r="BX56" s="25" t="s">
        <v>80</v>
      </c>
    </row>
    <row r="57" spans="1:76" ht="30.6" x14ac:dyDescent="0.3">
      <c r="A57" s="60">
        <v>56</v>
      </c>
      <c r="B57" s="60" t="s">
        <v>173</v>
      </c>
      <c r="C57" s="78" t="s">
        <v>18</v>
      </c>
      <c r="D57" s="78" t="s">
        <v>174</v>
      </c>
      <c r="E57" s="59" t="s">
        <v>185</v>
      </c>
      <c r="F57" s="48">
        <v>5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0</v>
      </c>
      <c r="N57" s="48">
        <v>5</v>
      </c>
      <c r="O57" s="68"/>
      <c r="P57" s="68"/>
      <c r="Q57" s="68"/>
      <c r="R57" s="68"/>
      <c r="S57" s="77">
        <v>5</v>
      </c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>
        <v>3</v>
      </c>
      <c r="BA57" s="61"/>
      <c r="BB57" s="61"/>
      <c r="BC57" s="61"/>
      <c r="BD57" s="61"/>
      <c r="BE57" s="61"/>
      <c r="BF57" s="68">
        <v>3</v>
      </c>
      <c r="BG57" s="61"/>
      <c r="BH57" s="61"/>
      <c r="BI57" s="61">
        <v>5</v>
      </c>
      <c r="BJ57" s="61"/>
      <c r="BK57" s="68"/>
      <c r="BL57" s="68">
        <v>1</v>
      </c>
      <c r="BM57" s="68"/>
      <c r="BN57" s="68"/>
      <c r="BO57" s="68"/>
      <c r="BP57" s="63">
        <f t="shared" si="6"/>
        <v>8</v>
      </c>
      <c r="BQ57" s="63">
        <f t="shared" si="0"/>
        <v>1</v>
      </c>
      <c r="BR57" s="63">
        <f t="shared" si="1"/>
        <v>9</v>
      </c>
      <c r="BS57" s="28" t="s">
        <v>78</v>
      </c>
      <c r="BT57" s="71" t="s">
        <v>78</v>
      </c>
      <c r="BU57" s="72" t="s">
        <v>78</v>
      </c>
      <c r="BV57" s="25" t="s">
        <v>106</v>
      </c>
      <c r="BW57" s="25" t="s">
        <v>178</v>
      </c>
      <c r="BX57" s="25"/>
    </row>
    <row r="58" spans="1:76" x14ac:dyDescent="0.3">
      <c r="A58" s="60">
        <v>57</v>
      </c>
      <c r="B58" s="60" t="s">
        <v>173</v>
      </c>
      <c r="C58" s="78" t="s">
        <v>16</v>
      </c>
      <c r="D58" s="78" t="s">
        <v>174</v>
      </c>
      <c r="E58" s="59" t="s">
        <v>186</v>
      </c>
      <c r="F58" s="48">
        <v>5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48">
        <v>5</v>
      </c>
      <c r="O58" s="68"/>
      <c r="P58" s="68"/>
      <c r="Q58" s="77">
        <v>1</v>
      </c>
      <c r="R58" s="68"/>
      <c r="S58" s="68">
        <v>3</v>
      </c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1"/>
      <c r="BB58" s="68">
        <v>1</v>
      </c>
      <c r="BC58" s="61"/>
      <c r="BD58" s="61"/>
      <c r="BE58" s="61"/>
      <c r="BF58" s="68"/>
      <c r="BG58" s="61"/>
      <c r="BH58" s="61">
        <v>3</v>
      </c>
      <c r="BI58" s="61"/>
      <c r="BJ58" s="61"/>
      <c r="BK58" s="68"/>
      <c r="BL58" s="68">
        <v>1</v>
      </c>
      <c r="BM58" s="68"/>
      <c r="BN58" s="68"/>
      <c r="BO58" s="68"/>
      <c r="BP58" s="63">
        <f t="shared" si="6"/>
        <v>4</v>
      </c>
      <c r="BQ58" s="63">
        <f t="shared" si="0"/>
        <v>1</v>
      </c>
      <c r="BR58" s="63">
        <f t="shared" si="1"/>
        <v>5</v>
      </c>
      <c r="BS58" s="79" t="s">
        <v>77</v>
      </c>
      <c r="BT58" s="79" t="s">
        <v>77</v>
      </c>
      <c r="BU58" s="72" t="s">
        <v>78</v>
      </c>
      <c r="BV58" s="25"/>
      <c r="BW58" s="25" t="s">
        <v>79</v>
      </c>
      <c r="BX58" s="25" t="s">
        <v>176</v>
      </c>
    </row>
    <row r="59" spans="1:76" ht="40.799999999999997" x14ac:dyDescent="0.3">
      <c r="A59" s="60">
        <v>58</v>
      </c>
      <c r="B59" s="60" t="s">
        <v>173</v>
      </c>
      <c r="C59" s="78" t="s">
        <v>187</v>
      </c>
      <c r="D59" s="78" t="s">
        <v>174</v>
      </c>
      <c r="E59" s="59" t="s">
        <v>188</v>
      </c>
      <c r="F59" s="48">
        <v>5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48">
        <v>5</v>
      </c>
      <c r="O59" s="68"/>
      <c r="P59" s="68"/>
      <c r="Q59" s="68"/>
      <c r="R59" s="68"/>
      <c r="S59" s="77">
        <v>1</v>
      </c>
      <c r="T59" s="68"/>
      <c r="U59" s="68">
        <v>3</v>
      </c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1"/>
      <c r="BB59" s="68">
        <v>1</v>
      </c>
      <c r="BC59" s="61"/>
      <c r="BD59" s="61">
        <v>1</v>
      </c>
      <c r="BE59" s="61"/>
      <c r="BF59" s="68"/>
      <c r="BG59" s="61"/>
      <c r="BH59" s="61"/>
      <c r="BI59" s="61"/>
      <c r="BJ59" s="61"/>
      <c r="BK59" s="68"/>
      <c r="BL59" s="68">
        <v>1</v>
      </c>
      <c r="BM59" s="68"/>
      <c r="BN59" s="68">
        <v>1</v>
      </c>
      <c r="BO59" s="68"/>
      <c r="BP59" s="63">
        <f t="shared" si="6"/>
        <v>2</v>
      </c>
      <c r="BQ59" s="63">
        <f t="shared" si="0"/>
        <v>2</v>
      </c>
      <c r="BR59" s="63">
        <f t="shared" si="1"/>
        <v>4</v>
      </c>
      <c r="BS59" s="79" t="s">
        <v>77</v>
      </c>
      <c r="BT59" s="79" t="s">
        <v>77</v>
      </c>
      <c r="BU59" s="72" t="s">
        <v>78</v>
      </c>
      <c r="BV59" s="40" t="s">
        <v>189</v>
      </c>
      <c r="BW59" s="25" t="s">
        <v>79</v>
      </c>
      <c r="BX59" s="25" t="s">
        <v>80</v>
      </c>
    </row>
    <row r="60" spans="1:76" ht="40.799999999999997" x14ac:dyDescent="0.3">
      <c r="A60" s="60">
        <v>59</v>
      </c>
      <c r="B60" s="60" t="s">
        <v>173</v>
      </c>
      <c r="C60" s="78" t="s">
        <v>187</v>
      </c>
      <c r="D60" s="78" t="s">
        <v>174</v>
      </c>
      <c r="E60" s="59" t="s">
        <v>190</v>
      </c>
      <c r="F60" s="48">
        <v>5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48">
        <v>5</v>
      </c>
      <c r="O60" s="68"/>
      <c r="P60" s="68"/>
      <c r="Q60" s="68"/>
      <c r="R60" s="68"/>
      <c r="S60" s="77">
        <v>1</v>
      </c>
      <c r="T60" s="68"/>
      <c r="U60" s="68">
        <v>3</v>
      </c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1"/>
      <c r="BB60" s="68">
        <v>1</v>
      </c>
      <c r="BC60" s="61"/>
      <c r="BD60" s="61">
        <v>1</v>
      </c>
      <c r="BE60" s="61"/>
      <c r="BF60" s="68"/>
      <c r="BG60" s="61"/>
      <c r="BH60" s="61"/>
      <c r="BI60" s="61"/>
      <c r="BJ60" s="61"/>
      <c r="BK60" s="68"/>
      <c r="BL60" s="68">
        <v>1</v>
      </c>
      <c r="BM60" s="68"/>
      <c r="BN60" s="68">
        <v>1</v>
      </c>
      <c r="BO60" s="68"/>
      <c r="BP60" s="63">
        <f t="shared" si="6"/>
        <v>2</v>
      </c>
      <c r="BQ60" s="63">
        <f t="shared" si="0"/>
        <v>2</v>
      </c>
      <c r="BR60" s="63">
        <f t="shared" si="1"/>
        <v>4</v>
      </c>
      <c r="BS60" s="79" t="s">
        <v>77</v>
      </c>
      <c r="BT60" s="79" t="s">
        <v>77</v>
      </c>
      <c r="BU60" s="72" t="s">
        <v>78</v>
      </c>
      <c r="BV60" s="40" t="s">
        <v>189</v>
      </c>
      <c r="BW60" s="25" t="s">
        <v>79</v>
      </c>
      <c r="BX60" s="25" t="s">
        <v>80</v>
      </c>
    </row>
    <row r="61" spans="1:76" ht="61.2" x14ac:dyDescent="0.3">
      <c r="A61" s="60">
        <v>60</v>
      </c>
      <c r="B61" s="60" t="s">
        <v>173</v>
      </c>
      <c r="C61" s="78" t="s">
        <v>187</v>
      </c>
      <c r="D61" s="78" t="s">
        <v>174</v>
      </c>
      <c r="E61" s="59" t="s">
        <v>191</v>
      </c>
      <c r="F61" s="48">
        <v>5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48">
        <v>5</v>
      </c>
      <c r="O61" s="68"/>
      <c r="P61" s="68"/>
      <c r="Q61" s="68"/>
      <c r="R61" s="68"/>
      <c r="S61" s="77">
        <v>1</v>
      </c>
      <c r="T61" s="68"/>
      <c r="U61" s="68">
        <v>3</v>
      </c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1"/>
      <c r="BB61" s="68">
        <v>1</v>
      </c>
      <c r="BC61" s="61"/>
      <c r="BD61" s="61">
        <v>1</v>
      </c>
      <c r="BE61" s="61"/>
      <c r="BF61" s="68"/>
      <c r="BG61" s="61"/>
      <c r="BH61" s="61"/>
      <c r="BI61" s="61"/>
      <c r="BJ61" s="61"/>
      <c r="BK61" s="68"/>
      <c r="BL61" s="68">
        <v>1</v>
      </c>
      <c r="BM61" s="68"/>
      <c r="BN61" s="68">
        <v>1</v>
      </c>
      <c r="BO61" s="68"/>
      <c r="BP61" s="63">
        <f t="shared" si="6"/>
        <v>2</v>
      </c>
      <c r="BQ61" s="63">
        <f t="shared" si="0"/>
        <v>2</v>
      </c>
      <c r="BR61" s="63">
        <f t="shared" si="1"/>
        <v>4</v>
      </c>
      <c r="BS61" s="79" t="s">
        <v>77</v>
      </c>
      <c r="BT61" s="79" t="s">
        <v>77</v>
      </c>
      <c r="BU61" s="72" t="s">
        <v>78</v>
      </c>
      <c r="BV61" s="40" t="s">
        <v>189</v>
      </c>
      <c r="BW61" s="25" t="s">
        <v>178</v>
      </c>
      <c r="BX61" s="25" t="s">
        <v>80</v>
      </c>
    </row>
    <row r="62" spans="1:76" ht="51" x14ac:dyDescent="0.3">
      <c r="A62" s="60">
        <v>61</v>
      </c>
      <c r="B62" s="60" t="s">
        <v>173</v>
      </c>
      <c r="C62" s="78" t="s">
        <v>20</v>
      </c>
      <c r="D62" s="78" t="s">
        <v>174</v>
      </c>
      <c r="E62" s="59" t="s">
        <v>192</v>
      </c>
      <c r="F62" s="48">
        <v>5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48">
        <v>5</v>
      </c>
      <c r="O62" s="68"/>
      <c r="P62" s="68"/>
      <c r="Q62" s="68"/>
      <c r="R62" s="68"/>
      <c r="S62" s="68"/>
      <c r="T62" s="68"/>
      <c r="U62" s="77">
        <v>5</v>
      </c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>
        <v>3</v>
      </c>
      <c r="BA62" s="61"/>
      <c r="BB62" s="61"/>
      <c r="BC62" s="61"/>
      <c r="BD62" s="4"/>
      <c r="BE62" s="61"/>
      <c r="BF62" s="68">
        <v>3</v>
      </c>
      <c r="BG62" s="61"/>
      <c r="BH62" s="61"/>
      <c r="BI62" s="61">
        <v>5</v>
      </c>
      <c r="BJ62" s="61"/>
      <c r="BK62" s="68"/>
      <c r="BL62" s="68"/>
      <c r="BM62" s="68"/>
      <c r="BN62" s="68">
        <v>1</v>
      </c>
      <c r="BO62" s="68"/>
      <c r="BP62" s="63">
        <f t="shared" si="6"/>
        <v>8</v>
      </c>
      <c r="BQ62" s="63">
        <f t="shared" si="0"/>
        <v>1</v>
      </c>
      <c r="BR62" s="63">
        <f t="shared" si="1"/>
        <v>9</v>
      </c>
      <c r="BS62" s="28" t="s">
        <v>78</v>
      </c>
      <c r="BT62" s="71" t="s">
        <v>78</v>
      </c>
      <c r="BU62" s="72" t="s">
        <v>78</v>
      </c>
      <c r="BV62" s="25" t="s">
        <v>106</v>
      </c>
      <c r="BW62" s="25" t="s">
        <v>178</v>
      </c>
      <c r="BX62" s="25"/>
    </row>
    <row r="63" spans="1:76" ht="51" x14ac:dyDescent="0.3">
      <c r="A63" s="60">
        <v>62</v>
      </c>
      <c r="B63" s="60" t="s">
        <v>173</v>
      </c>
      <c r="C63" s="78" t="s">
        <v>20</v>
      </c>
      <c r="D63" s="78" t="s">
        <v>174</v>
      </c>
      <c r="E63" s="59" t="s">
        <v>193</v>
      </c>
      <c r="F63" s="48">
        <v>5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48">
        <v>5</v>
      </c>
      <c r="O63" s="68"/>
      <c r="P63" s="68"/>
      <c r="Q63" s="68"/>
      <c r="R63" s="68"/>
      <c r="S63" s="68"/>
      <c r="T63" s="68"/>
      <c r="U63" s="77">
        <v>5</v>
      </c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>
        <v>3</v>
      </c>
      <c r="BA63" s="61"/>
      <c r="BB63" s="61"/>
      <c r="BC63" s="61"/>
      <c r="BD63" s="61"/>
      <c r="BE63" s="61"/>
      <c r="BF63" s="68">
        <v>3</v>
      </c>
      <c r="BG63" s="61"/>
      <c r="BH63" s="61"/>
      <c r="BI63" s="61">
        <v>5</v>
      </c>
      <c r="BJ63" s="61"/>
      <c r="BK63" s="68"/>
      <c r="BL63" s="68"/>
      <c r="BM63" s="68"/>
      <c r="BN63" s="68">
        <v>1</v>
      </c>
      <c r="BO63" s="68"/>
      <c r="BP63" s="63">
        <f t="shared" si="6"/>
        <v>8</v>
      </c>
      <c r="BQ63" s="63">
        <f t="shared" si="0"/>
        <v>1</v>
      </c>
      <c r="BR63" s="63">
        <f t="shared" si="1"/>
        <v>9</v>
      </c>
      <c r="BS63" s="28" t="s">
        <v>78</v>
      </c>
      <c r="BT63" s="71" t="s">
        <v>78</v>
      </c>
      <c r="BU63" s="72" t="s">
        <v>78</v>
      </c>
      <c r="BV63" s="25" t="s">
        <v>106</v>
      </c>
      <c r="BW63" s="25" t="s">
        <v>178</v>
      </c>
      <c r="BX63" s="25"/>
    </row>
    <row r="64" spans="1:76" ht="30.6" x14ac:dyDescent="0.3">
      <c r="A64" s="60">
        <v>63</v>
      </c>
      <c r="B64" s="60" t="s">
        <v>173</v>
      </c>
      <c r="C64" s="78" t="s">
        <v>20</v>
      </c>
      <c r="D64" s="78" t="s">
        <v>174</v>
      </c>
      <c r="E64" s="59" t="s">
        <v>194</v>
      </c>
      <c r="F64" s="48">
        <v>5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48">
        <v>5</v>
      </c>
      <c r="O64" s="68"/>
      <c r="P64" s="68"/>
      <c r="Q64" s="68"/>
      <c r="R64" s="68"/>
      <c r="S64" s="68"/>
      <c r="T64" s="68"/>
      <c r="U64" s="77">
        <v>5</v>
      </c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>
        <v>3</v>
      </c>
      <c r="BA64" s="61"/>
      <c r="BB64" s="61"/>
      <c r="BC64" s="61"/>
      <c r="BD64" s="61"/>
      <c r="BE64" s="61"/>
      <c r="BF64" s="68">
        <v>3</v>
      </c>
      <c r="BG64" s="61"/>
      <c r="BH64" s="61"/>
      <c r="BI64" s="61">
        <v>5</v>
      </c>
      <c r="BJ64" s="61"/>
      <c r="BK64" s="68"/>
      <c r="BL64" s="68"/>
      <c r="BM64" s="68"/>
      <c r="BN64" s="68">
        <v>1</v>
      </c>
      <c r="BO64" s="68"/>
      <c r="BP64" s="63">
        <f t="shared" si="6"/>
        <v>8</v>
      </c>
      <c r="BQ64" s="63">
        <f t="shared" si="0"/>
        <v>1</v>
      </c>
      <c r="BR64" s="63">
        <f t="shared" si="1"/>
        <v>9</v>
      </c>
      <c r="BS64" s="28" t="s">
        <v>78</v>
      </c>
      <c r="BT64" s="71" t="s">
        <v>78</v>
      </c>
      <c r="BU64" s="72" t="s">
        <v>78</v>
      </c>
      <c r="BV64" s="25" t="s">
        <v>106</v>
      </c>
      <c r="BW64" s="25" t="s">
        <v>178</v>
      </c>
      <c r="BX64" s="25"/>
    </row>
    <row r="65" spans="1:76" ht="30.6" x14ac:dyDescent="0.3">
      <c r="A65" s="60">
        <v>64</v>
      </c>
      <c r="B65" s="60" t="s">
        <v>173</v>
      </c>
      <c r="C65" s="78" t="s">
        <v>20</v>
      </c>
      <c r="D65" s="78" t="s">
        <v>174</v>
      </c>
      <c r="E65" s="59" t="s">
        <v>195</v>
      </c>
      <c r="F65" s="48">
        <v>5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48">
        <v>5</v>
      </c>
      <c r="O65" s="68"/>
      <c r="P65" s="68"/>
      <c r="Q65" s="68"/>
      <c r="R65" s="68"/>
      <c r="S65" s="68"/>
      <c r="T65" s="68"/>
      <c r="U65" s="77">
        <v>5</v>
      </c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>
        <v>3</v>
      </c>
      <c r="BA65" s="61"/>
      <c r="BB65" s="61"/>
      <c r="BC65" s="61"/>
      <c r="BD65" s="61"/>
      <c r="BE65" s="61"/>
      <c r="BF65" s="68">
        <v>3</v>
      </c>
      <c r="BG65" s="61"/>
      <c r="BH65" s="61"/>
      <c r="BI65" s="61">
        <v>5</v>
      </c>
      <c r="BJ65" s="61"/>
      <c r="BK65" s="68"/>
      <c r="BL65" s="68"/>
      <c r="BM65" s="68"/>
      <c r="BN65" s="68">
        <v>1</v>
      </c>
      <c r="BO65" s="68"/>
      <c r="BP65" s="63">
        <f t="shared" si="6"/>
        <v>8</v>
      </c>
      <c r="BQ65" s="63">
        <f t="shared" si="0"/>
        <v>1</v>
      </c>
      <c r="BR65" s="63">
        <f t="shared" si="1"/>
        <v>9</v>
      </c>
      <c r="BS65" s="28" t="s">
        <v>78</v>
      </c>
      <c r="BT65" s="71" t="s">
        <v>78</v>
      </c>
      <c r="BU65" s="72" t="s">
        <v>78</v>
      </c>
      <c r="BV65" s="25" t="s">
        <v>106</v>
      </c>
      <c r="BW65" s="25" t="s">
        <v>178</v>
      </c>
      <c r="BX65" s="25"/>
    </row>
    <row r="66" spans="1:76" ht="20.399999999999999" x14ac:dyDescent="0.3">
      <c r="A66" s="60">
        <v>65</v>
      </c>
      <c r="B66" s="60" t="s">
        <v>173</v>
      </c>
      <c r="C66" s="78" t="s">
        <v>196</v>
      </c>
      <c r="D66" s="78" t="s">
        <v>174</v>
      </c>
      <c r="E66" s="59" t="s">
        <v>197</v>
      </c>
      <c r="F66" s="48">
        <v>5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48">
        <v>5</v>
      </c>
      <c r="O66" s="68"/>
      <c r="P66" s="68"/>
      <c r="Q66" s="77">
        <v>5</v>
      </c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>
        <v>3</v>
      </c>
      <c r="BA66" s="61"/>
      <c r="BB66" s="61"/>
      <c r="BC66" s="61"/>
      <c r="BD66" s="61"/>
      <c r="BE66" s="61"/>
      <c r="BF66" s="68">
        <v>3</v>
      </c>
      <c r="BG66" s="61"/>
      <c r="BH66" s="61"/>
      <c r="BI66" s="61">
        <v>5</v>
      </c>
      <c r="BJ66" s="61"/>
      <c r="BK66" s="68"/>
      <c r="BL66" s="68">
        <v>1</v>
      </c>
      <c r="BM66" s="68"/>
      <c r="BN66" s="68"/>
      <c r="BO66" s="68"/>
      <c r="BP66" s="63">
        <f t="shared" si="6"/>
        <v>8</v>
      </c>
      <c r="BQ66" s="63">
        <f t="shared" ref="BQ66:BQ129" si="7">SUM(BL66:BO66)</f>
        <v>1</v>
      </c>
      <c r="BR66" s="63">
        <f t="shared" ref="BR66:BR129" si="8">SUM(BP66:BQ66)</f>
        <v>9</v>
      </c>
      <c r="BS66" s="28" t="s">
        <v>78</v>
      </c>
      <c r="BT66" s="71" t="s">
        <v>78</v>
      </c>
      <c r="BU66" s="72" t="s">
        <v>78</v>
      </c>
      <c r="BV66" s="25" t="s">
        <v>106</v>
      </c>
      <c r="BW66" s="25" t="s">
        <v>178</v>
      </c>
      <c r="BX66" s="25"/>
    </row>
    <row r="67" spans="1:76" ht="40.799999999999997" x14ac:dyDescent="0.3">
      <c r="A67" s="60">
        <v>66</v>
      </c>
      <c r="B67" s="60" t="s">
        <v>173</v>
      </c>
      <c r="C67" s="78" t="s">
        <v>16</v>
      </c>
      <c r="D67" s="78" t="s">
        <v>174</v>
      </c>
      <c r="E67" s="59" t="s">
        <v>198</v>
      </c>
      <c r="F67" s="48">
        <v>5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48">
        <v>5</v>
      </c>
      <c r="O67" s="68"/>
      <c r="P67" s="68"/>
      <c r="Q67" s="77">
        <v>5</v>
      </c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>
        <v>3</v>
      </c>
      <c r="BA67" s="61"/>
      <c r="BB67" s="61"/>
      <c r="BC67" s="61"/>
      <c r="BD67" s="61"/>
      <c r="BE67" s="61"/>
      <c r="BF67" s="68">
        <v>3</v>
      </c>
      <c r="BG67" s="61"/>
      <c r="BH67" s="61"/>
      <c r="BI67" s="61">
        <v>5</v>
      </c>
      <c r="BJ67" s="61"/>
      <c r="BK67" s="48"/>
      <c r="BL67" s="48">
        <v>1</v>
      </c>
      <c r="BM67" s="48"/>
      <c r="BN67" s="48"/>
      <c r="BO67" s="48"/>
      <c r="BP67" s="63">
        <f t="shared" si="6"/>
        <v>8</v>
      </c>
      <c r="BQ67" s="63">
        <f t="shared" si="7"/>
        <v>1</v>
      </c>
      <c r="BR67" s="63">
        <f t="shared" si="8"/>
        <v>9</v>
      </c>
      <c r="BS67" s="28" t="s">
        <v>78</v>
      </c>
      <c r="BT67" s="71" t="s">
        <v>78</v>
      </c>
      <c r="BU67" s="72" t="s">
        <v>78</v>
      </c>
      <c r="BV67" s="25" t="s">
        <v>106</v>
      </c>
      <c r="BW67" s="25" t="s">
        <v>178</v>
      </c>
      <c r="BX67" s="25"/>
    </row>
    <row r="68" spans="1:76" ht="40.799999999999997" x14ac:dyDescent="0.3">
      <c r="A68" s="60">
        <v>67</v>
      </c>
      <c r="B68" s="60" t="s">
        <v>173</v>
      </c>
      <c r="C68" s="78" t="s">
        <v>44</v>
      </c>
      <c r="D68" s="78" t="s">
        <v>199</v>
      </c>
      <c r="E68" s="59" t="s">
        <v>200</v>
      </c>
      <c r="F68" s="48">
        <v>5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48">
        <v>5</v>
      </c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77">
        <v>1</v>
      </c>
      <c r="AU68" s="68"/>
      <c r="AV68" s="68">
        <v>3</v>
      </c>
      <c r="AW68" s="68"/>
      <c r="AX68" s="68"/>
      <c r="AY68" s="68"/>
      <c r="AZ68" s="68"/>
      <c r="BA68" s="48"/>
      <c r="BB68" s="68">
        <v>1</v>
      </c>
      <c r="BC68" s="48"/>
      <c r="BD68" s="48"/>
      <c r="BE68" s="48"/>
      <c r="BF68" s="68"/>
      <c r="BG68" s="48">
        <v>3</v>
      </c>
      <c r="BH68" s="48"/>
      <c r="BI68" s="48"/>
      <c r="BJ68" s="48"/>
      <c r="BK68" s="48"/>
      <c r="BL68" s="48">
        <v>1</v>
      </c>
      <c r="BM68" s="48"/>
      <c r="BN68" s="48"/>
      <c r="BO68" s="48"/>
      <c r="BP68" s="63">
        <f t="shared" si="6"/>
        <v>4</v>
      </c>
      <c r="BQ68" s="63">
        <f t="shared" si="7"/>
        <v>1</v>
      </c>
      <c r="BR68" s="63">
        <f t="shared" si="8"/>
        <v>5</v>
      </c>
      <c r="BS68" s="79" t="s">
        <v>77</v>
      </c>
      <c r="BT68" s="79" t="s">
        <v>77</v>
      </c>
      <c r="BU68" s="72" t="s">
        <v>78</v>
      </c>
      <c r="BV68" s="24"/>
      <c r="BW68" s="25" t="s">
        <v>178</v>
      </c>
      <c r="BX68" s="25" t="s">
        <v>80</v>
      </c>
    </row>
    <row r="69" spans="1:76" ht="40.799999999999997" x14ac:dyDescent="0.3">
      <c r="A69" s="60">
        <v>68</v>
      </c>
      <c r="B69" s="60" t="s">
        <v>173</v>
      </c>
      <c r="C69" s="78" t="s">
        <v>44</v>
      </c>
      <c r="D69" s="78" t="s">
        <v>199</v>
      </c>
      <c r="E69" s="59" t="s">
        <v>201</v>
      </c>
      <c r="F69" s="48">
        <v>5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48">
        <v>5</v>
      </c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77">
        <v>1</v>
      </c>
      <c r="AU69" s="68"/>
      <c r="AV69" s="68">
        <v>3</v>
      </c>
      <c r="AW69" s="68"/>
      <c r="AX69" s="68">
        <v>1</v>
      </c>
      <c r="AY69" s="68"/>
      <c r="AZ69" s="68"/>
      <c r="BA69" s="48"/>
      <c r="BB69" s="68">
        <v>2</v>
      </c>
      <c r="BC69" s="48"/>
      <c r="BD69" s="48"/>
      <c r="BE69" s="48"/>
      <c r="BF69" s="68"/>
      <c r="BG69" s="48">
        <v>3</v>
      </c>
      <c r="BH69" s="48"/>
      <c r="BI69" s="48"/>
      <c r="BJ69" s="48"/>
      <c r="BK69" s="48"/>
      <c r="BL69" s="48">
        <v>1</v>
      </c>
      <c r="BM69" s="48"/>
      <c r="BN69" s="48"/>
      <c r="BO69" s="48"/>
      <c r="BP69" s="63">
        <f t="shared" si="6"/>
        <v>5</v>
      </c>
      <c r="BQ69" s="63">
        <f t="shared" si="7"/>
        <v>1</v>
      </c>
      <c r="BR69" s="63">
        <f t="shared" si="8"/>
        <v>6</v>
      </c>
      <c r="BS69" s="72" t="s">
        <v>78</v>
      </c>
      <c r="BT69" s="72" t="s">
        <v>78</v>
      </c>
      <c r="BU69" s="72" t="s">
        <v>78</v>
      </c>
      <c r="BV69" s="24"/>
      <c r="BW69" s="25" t="s">
        <v>178</v>
      </c>
      <c r="BX69" s="25" t="s">
        <v>80</v>
      </c>
    </row>
    <row r="70" spans="1:76" ht="40.799999999999997" x14ac:dyDescent="0.3">
      <c r="A70" s="60">
        <v>69</v>
      </c>
      <c r="B70" s="60" t="s">
        <v>173</v>
      </c>
      <c r="C70" s="78" t="s">
        <v>44</v>
      </c>
      <c r="D70" s="78" t="s">
        <v>199</v>
      </c>
      <c r="E70" s="59" t="s">
        <v>202</v>
      </c>
      <c r="F70" s="48">
        <v>5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48">
        <v>5</v>
      </c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77">
        <v>1</v>
      </c>
      <c r="AU70" s="68"/>
      <c r="AV70" s="68">
        <v>3</v>
      </c>
      <c r="AW70" s="68"/>
      <c r="AX70" s="68">
        <v>1</v>
      </c>
      <c r="AY70" s="68"/>
      <c r="AZ70" s="68"/>
      <c r="BA70" s="48"/>
      <c r="BB70" s="68">
        <v>2</v>
      </c>
      <c r="BC70" s="48"/>
      <c r="BD70" s="48"/>
      <c r="BE70" s="48"/>
      <c r="BF70" s="68"/>
      <c r="BG70" s="48">
        <v>3</v>
      </c>
      <c r="BH70" s="48"/>
      <c r="BI70" s="48"/>
      <c r="BJ70" s="48"/>
      <c r="BK70" s="48"/>
      <c r="BL70" s="48">
        <v>1</v>
      </c>
      <c r="BM70" s="48"/>
      <c r="BN70" s="48"/>
      <c r="BO70" s="48"/>
      <c r="BP70" s="63">
        <f t="shared" si="6"/>
        <v>5</v>
      </c>
      <c r="BQ70" s="63">
        <f t="shared" si="7"/>
        <v>1</v>
      </c>
      <c r="BR70" s="63">
        <f t="shared" si="8"/>
        <v>6</v>
      </c>
      <c r="BS70" s="72" t="s">
        <v>78</v>
      </c>
      <c r="BT70" s="72" t="s">
        <v>78</v>
      </c>
      <c r="BU70" s="72" t="s">
        <v>78</v>
      </c>
      <c r="BV70" s="24"/>
      <c r="BW70" s="25" t="s">
        <v>178</v>
      </c>
      <c r="BX70" s="25" t="s">
        <v>80</v>
      </c>
    </row>
    <row r="71" spans="1:76" ht="40.799999999999997" x14ac:dyDescent="0.3">
      <c r="A71" s="60">
        <v>70</v>
      </c>
      <c r="B71" s="60" t="s">
        <v>173</v>
      </c>
      <c r="C71" s="78" t="s">
        <v>44</v>
      </c>
      <c r="D71" s="78" t="s">
        <v>199</v>
      </c>
      <c r="E71" s="59" t="s">
        <v>203</v>
      </c>
      <c r="F71" s="48">
        <v>5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48">
        <v>5</v>
      </c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77">
        <v>1</v>
      </c>
      <c r="AU71" s="68"/>
      <c r="AV71" s="68">
        <v>3</v>
      </c>
      <c r="AW71" s="68"/>
      <c r="AX71" s="68">
        <v>1</v>
      </c>
      <c r="AY71" s="68"/>
      <c r="AZ71" s="68"/>
      <c r="BA71" s="48"/>
      <c r="BB71" s="68">
        <v>2</v>
      </c>
      <c r="BC71" s="48"/>
      <c r="BD71" s="48"/>
      <c r="BE71" s="48"/>
      <c r="BF71" s="68"/>
      <c r="BG71" s="48">
        <v>3</v>
      </c>
      <c r="BH71" s="48"/>
      <c r="BI71" s="48"/>
      <c r="BJ71" s="48"/>
      <c r="BK71" s="48"/>
      <c r="BL71" s="48">
        <v>1</v>
      </c>
      <c r="BM71" s="48"/>
      <c r="BN71" s="48"/>
      <c r="BO71" s="48"/>
      <c r="BP71" s="63">
        <f t="shared" si="6"/>
        <v>5</v>
      </c>
      <c r="BQ71" s="63">
        <f t="shared" si="7"/>
        <v>1</v>
      </c>
      <c r="BR71" s="63">
        <f t="shared" si="8"/>
        <v>6</v>
      </c>
      <c r="BS71" s="72" t="s">
        <v>78</v>
      </c>
      <c r="BT71" s="72" t="s">
        <v>78</v>
      </c>
      <c r="BU71" s="72" t="s">
        <v>78</v>
      </c>
      <c r="BV71" s="24"/>
      <c r="BW71" s="25" t="s">
        <v>178</v>
      </c>
      <c r="BX71" s="25" t="s">
        <v>80</v>
      </c>
    </row>
    <row r="72" spans="1:76" ht="40.799999999999997" x14ac:dyDescent="0.3">
      <c r="A72" s="60">
        <v>71</v>
      </c>
      <c r="B72" s="60" t="s">
        <v>173</v>
      </c>
      <c r="C72" s="78" t="s">
        <v>44</v>
      </c>
      <c r="D72" s="78" t="s">
        <v>199</v>
      </c>
      <c r="E72" s="59" t="s">
        <v>204</v>
      </c>
      <c r="F72" s="48">
        <v>5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48">
        <v>5</v>
      </c>
      <c r="O72" s="68"/>
      <c r="P72" s="68"/>
      <c r="Q72" s="68"/>
      <c r="R72" s="68"/>
      <c r="S72" s="68"/>
      <c r="T72" s="68"/>
      <c r="U72" s="4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77">
        <v>1</v>
      </c>
      <c r="AU72" s="68"/>
      <c r="AV72" s="68">
        <v>3</v>
      </c>
      <c r="AW72" s="68"/>
      <c r="AX72" s="68">
        <v>1</v>
      </c>
      <c r="AY72" s="68"/>
      <c r="AZ72" s="68"/>
      <c r="BA72" s="48"/>
      <c r="BB72" s="68">
        <v>2</v>
      </c>
      <c r="BC72" s="48"/>
      <c r="BD72" s="48"/>
      <c r="BE72" s="48"/>
      <c r="BF72" s="68"/>
      <c r="BG72" s="48">
        <v>3</v>
      </c>
      <c r="BH72" s="48"/>
      <c r="BI72" s="48"/>
      <c r="BJ72" s="48"/>
      <c r="BK72" s="48"/>
      <c r="BL72" s="48">
        <v>1</v>
      </c>
      <c r="BM72" s="48"/>
      <c r="BN72" s="48"/>
      <c r="BO72" s="48"/>
      <c r="BP72" s="63">
        <f t="shared" si="6"/>
        <v>5</v>
      </c>
      <c r="BQ72" s="63">
        <f t="shared" si="7"/>
        <v>1</v>
      </c>
      <c r="BR72" s="63">
        <f t="shared" si="8"/>
        <v>6</v>
      </c>
      <c r="BS72" s="72" t="s">
        <v>78</v>
      </c>
      <c r="BT72" s="72" t="s">
        <v>78</v>
      </c>
      <c r="BU72" s="72" t="s">
        <v>78</v>
      </c>
      <c r="BV72" s="24"/>
      <c r="BW72" s="25" t="s">
        <v>178</v>
      </c>
      <c r="BX72" s="25" t="s">
        <v>80</v>
      </c>
    </row>
    <row r="73" spans="1:76" ht="30.6" x14ac:dyDescent="0.3">
      <c r="A73" s="60">
        <v>72</v>
      </c>
      <c r="B73" s="60" t="s">
        <v>173</v>
      </c>
      <c r="C73" s="78" t="s">
        <v>39</v>
      </c>
      <c r="D73" s="78" t="s">
        <v>199</v>
      </c>
      <c r="E73" s="59" t="s">
        <v>205</v>
      </c>
      <c r="F73" s="48">
        <v>5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48">
        <v>5</v>
      </c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77">
        <v>1</v>
      </c>
      <c r="AP73" s="68"/>
      <c r="AQ73" s="68"/>
      <c r="AR73" s="68"/>
      <c r="AS73" s="68"/>
      <c r="AT73" s="68">
        <v>3</v>
      </c>
      <c r="AU73" s="68"/>
      <c r="AV73" s="68"/>
      <c r="AW73" s="68"/>
      <c r="AX73" s="68"/>
      <c r="AY73" s="68"/>
      <c r="AZ73" s="68"/>
      <c r="BA73" s="48"/>
      <c r="BB73" s="68">
        <v>1</v>
      </c>
      <c r="BC73" s="48"/>
      <c r="BD73" s="48"/>
      <c r="BE73" s="48"/>
      <c r="BF73" s="68"/>
      <c r="BG73" s="48">
        <v>3</v>
      </c>
      <c r="BH73" s="48"/>
      <c r="BI73" s="48"/>
      <c r="BJ73" s="48"/>
      <c r="BK73" s="48"/>
      <c r="BL73" s="48">
        <v>1</v>
      </c>
      <c r="BM73" s="48"/>
      <c r="BN73" s="48"/>
      <c r="BO73" s="48"/>
      <c r="BP73" s="63">
        <f t="shared" si="6"/>
        <v>4</v>
      </c>
      <c r="BQ73" s="63">
        <f t="shared" si="7"/>
        <v>1</v>
      </c>
      <c r="BR73" s="63">
        <f t="shared" si="8"/>
        <v>5</v>
      </c>
      <c r="BS73" s="79" t="s">
        <v>77</v>
      </c>
      <c r="BT73" s="79" t="s">
        <v>77</v>
      </c>
      <c r="BU73" s="72" t="s">
        <v>78</v>
      </c>
      <c r="BV73" s="24"/>
      <c r="BW73" s="25" t="s">
        <v>178</v>
      </c>
      <c r="BX73" s="25" t="s">
        <v>80</v>
      </c>
    </row>
    <row r="74" spans="1:76" ht="20.399999999999999" x14ac:dyDescent="0.3">
      <c r="A74" s="60">
        <v>73</v>
      </c>
      <c r="B74" s="60" t="s">
        <v>173</v>
      </c>
      <c r="C74" s="78" t="s">
        <v>206</v>
      </c>
      <c r="D74" s="78" t="s">
        <v>199</v>
      </c>
      <c r="E74" s="59" t="s">
        <v>207</v>
      </c>
      <c r="F74" s="48">
        <v>5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48">
        <v>5</v>
      </c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4">
        <v>1</v>
      </c>
      <c r="AF74" s="68"/>
      <c r="AG74" s="68"/>
      <c r="AH74" s="68"/>
      <c r="AI74" s="77">
        <v>5</v>
      </c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>
        <v>3</v>
      </c>
      <c r="BA74" s="48"/>
      <c r="BB74" s="68">
        <v>1</v>
      </c>
      <c r="BC74" s="48"/>
      <c r="BD74" s="48"/>
      <c r="BE74" s="48"/>
      <c r="BF74" s="68">
        <v>3</v>
      </c>
      <c r="BG74" s="48"/>
      <c r="BH74" s="48"/>
      <c r="BI74" s="48">
        <v>5</v>
      </c>
      <c r="BJ74" s="48"/>
      <c r="BK74" s="48"/>
      <c r="BL74" s="48"/>
      <c r="BM74" s="48"/>
      <c r="BN74" s="48">
        <v>1</v>
      </c>
      <c r="BO74" s="48"/>
      <c r="BP74" s="63">
        <f>SUM(BA74:BK74)</f>
        <v>9</v>
      </c>
      <c r="BQ74" s="63">
        <f t="shared" si="7"/>
        <v>1</v>
      </c>
      <c r="BR74" s="63">
        <f t="shared" si="8"/>
        <v>10</v>
      </c>
      <c r="BS74" s="28" t="s">
        <v>78</v>
      </c>
      <c r="BT74" s="71" t="s">
        <v>78</v>
      </c>
      <c r="BU74" s="72" t="s">
        <v>78</v>
      </c>
      <c r="BV74" s="25" t="s">
        <v>106</v>
      </c>
      <c r="BW74" s="25" t="s">
        <v>79</v>
      </c>
      <c r="BX74" s="25"/>
    </row>
    <row r="75" spans="1:76" ht="20.399999999999999" x14ac:dyDescent="0.3">
      <c r="A75" s="60">
        <v>74</v>
      </c>
      <c r="B75" s="60" t="s">
        <v>173</v>
      </c>
      <c r="C75" s="78" t="s">
        <v>39</v>
      </c>
      <c r="D75" s="78" t="s">
        <v>199</v>
      </c>
      <c r="E75" s="59" t="s">
        <v>208</v>
      </c>
      <c r="F75" s="48">
        <v>5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48">
        <v>5</v>
      </c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77">
        <v>3</v>
      </c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48"/>
      <c r="BB75" s="68"/>
      <c r="BC75" s="48"/>
      <c r="BD75" s="48"/>
      <c r="BE75" s="48"/>
      <c r="BF75" s="68"/>
      <c r="BG75" s="48">
        <v>3</v>
      </c>
      <c r="BH75" s="48"/>
      <c r="BI75" s="48"/>
      <c r="BJ75" s="48"/>
      <c r="BK75" s="48"/>
      <c r="BL75" s="48">
        <v>1</v>
      </c>
      <c r="BM75" s="48"/>
      <c r="BN75" s="48"/>
      <c r="BO75" s="48"/>
      <c r="BP75" s="63">
        <f t="shared" ref="BP75:BP138" si="9">SUM(BA75:BK75)</f>
        <v>3</v>
      </c>
      <c r="BQ75" s="63">
        <f t="shared" si="7"/>
        <v>1</v>
      </c>
      <c r="BR75" s="63">
        <f t="shared" si="8"/>
        <v>4</v>
      </c>
      <c r="BS75" s="79" t="s">
        <v>77</v>
      </c>
      <c r="BT75" s="79" t="s">
        <v>77</v>
      </c>
      <c r="BU75" s="72" t="s">
        <v>78</v>
      </c>
      <c r="BV75" s="24"/>
      <c r="BW75" s="25" t="s">
        <v>178</v>
      </c>
      <c r="BX75" s="25" t="s">
        <v>80</v>
      </c>
    </row>
    <row r="76" spans="1:76" ht="51" x14ac:dyDescent="0.3">
      <c r="A76" s="60">
        <v>75</v>
      </c>
      <c r="B76" s="60" t="s">
        <v>173</v>
      </c>
      <c r="C76" s="78" t="s">
        <v>39</v>
      </c>
      <c r="D76" s="78" t="s">
        <v>199</v>
      </c>
      <c r="E76" s="59" t="s">
        <v>209</v>
      </c>
      <c r="F76" s="48">
        <v>5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48">
        <v>5</v>
      </c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77">
        <v>1</v>
      </c>
      <c r="AP76" s="68"/>
      <c r="AQ76" s="68"/>
      <c r="AR76" s="68">
        <v>3</v>
      </c>
      <c r="AS76" s="68"/>
      <c r="AT76" s="68"/>
      <c r="AU76" s="68"/>
      <c r="AV76" s="68"/>
      <c r="AW76" s="68"/>
      <c r="AX76" s="68"/>
      <c r="AY76" s="68"/>
      <c r="AZ76" s="68"/>
      <c r="BA76" s="48"/>
      <c r="BB76" s="68">
        <v>1</v>
      </c>
      <c r="BC76" s="48"/>
      <c r="BD76" s="48"/>
      <c r="BE76" s="48"/>
      <c r="BF76" s="68"/>
      <c r="BG76" s="48"/>
      <c r="BH76" s="48">
        <v>3</v>
      </c>
      <c r="BI76" s="48"/>
      <c r="BJ76" s="48"/>
      <c r="BK76" s="48"/>
      <c r="BL76" s="48">
        <v>1</v>
      </c>
      <c r="BM76" s="48"/>
      <c r="BN76" s="48"/>
      <c r="BO76" s="48"/>
      <c r="BP76" s="63">
        <f t="shared" si="9"/>
        <v>4</v>
      </c>
      <c r="BQ76" s="63">
        <f t="shared" si="7"/>
        <v>1</v>
      </c>
      <c r="BR76" s="63">
        <f t="shared" si="8"/>
        <v>5</v>
      </c>
      <c r="BS76" s="79" t="s">
        <v>77</v>
      </c>
      <c r="BT76" s="79" t="s">
        <v>77</v>
      </c>
      <c r="BU76" s="72" t="s">
        <v>78</v>
      </c>
      <c r="BV76" s="25"/>
      <c r="BW76" s="25" t="s">
        <v>79</v>
      </c>
      <c r="BX76" s="25" t="s">
        <v>176</v>
      </c>
    </row>
    <row r="77" spans="1:76" ht="40.799999999999997" x14ac:dyDescent="0.3">
      <c r="A77" s="60">
        <v>76</v>
      </c>
      <c r="B77" s="60" t="s">
        <v>173</v>
      </c>
      <c r="C77" s="78" t="s">
        <v>39</v>
      </c>
      <c r="D77" s="78" t="s">
        <v>199</v>
      </c>
      <c r="E77" s="59" t="s">
        <v>210</v>
      </c>
      <c r="F77" s="48">
        <v>5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48">
        <v>5</v>
      </c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77">
        <v>1</v>
      </c>
      <c r="AP77" s="68">
        <v>3</v>
      </c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48"/>
      <c r="BB77" s="68">
        <v>1</v>
      </c>
      <c r="BC77" s="48"/>
      <c r="BD77" s="48"/>
      <c r="BE77" s="48"/>
      <c r="BF77" s="68"/>
      <c r="BG77" s="48">
        <v>3</v>
      </c>
      <c r="BH77" s="48"/>
      <c r="BI77" s="48"/>
      <c r="BJ77" s="48"/>
      <c r="BK77" s="48"/>
      <c r="BL77" s="48">
        <v>1</v>
      </c>
      <c r="BM77" s="48"/>
      <c r="BN77" s="48"/>
      <c r="BO77" s="48"/>
      <c r="BP77" s="63">
        <f t="shared" si="9"/>
        <v>4</v>
      </c>
      <c r="BQ77" s="63">
        <f t="shared" si="7"/>
        <v>1</v>
      </c>
      <c r="BR77" s="63">
        <f t="shared" si="8"/>
        <v>5</v>
      </c>
      <c r="BS77" s="79" t="s">
        <v>77</v>
      </c>
      <c r="BT77" s="79" t="s">
        <v>77</v>
      </c>
      <c r="BU77" s="72" t="s">
        <v>78</v>
      </c>
      <c r="BV77" s="24"/>
      <c r="BW77" s="25" t="s">
        <v>178</v>
      </c>
      <c r="BX77" s="25" t="s">
        <v>80</v>
      </c>
    </row>
    <row r="78" spans="1:76" ht="40.799999999999997" x14ac:dyDescent="0.3">
      <c r="A78" s="60">
        <v>77</v>
      </c>
      <c r="B78" s="60" t="s">
        <v>173</v>
      </c>
      <c r="C78" s="78" t="s">
        <v>39</v>
      </c>
      <c r="D78" s="78" t="s">
        <v>199</v>
      </c>
      <c r="E78" s="59" t="s">
        <v>211</v>
      </c>
      <c r="F78" s="48">
        <v>5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48">
        <v>5</v>
      </c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77">
        <v>1</v>
      </c>
      <c r="AP78" s="68">
        <v>3</v>
      </c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48"/>
      <c r="BB78" s="68">
        <v>1</v>
      </c>
      <c r="BC78" s="48"/>
      <c r="BD78" s="48"/>
      <c r="BE78" s="48"/>
      <c r="BF78" s="68"/>
      <c r="BG78" s="48">
        <v>3</v>
      </c>
      <c r="BH78" s="48"/>
      <c r="BI78" s="48"/>
      <c r="BJ78" s="48"/>
      <c r="BK78" s="48"/>
      <c r="BL78" s="48">
        <v>1</v>
      </c>
      <c r="BM78" s="48"/>
      <c r="BN78" s="48"/>
      <c r="BO78" s="48"/>
      <c r="BP78" s="63">
        <f t="shared" si="9"/>
        <v>4</v>
      </c>
      <c r="BQ78" s="63">
        <f t="shared" si="7"/>
        <v>1</v>
      </c>
      <c r="BR78" s="63">
        <f t="shared" si="8"/>
        <v>5</v>
      </c>
      <c r="BS78" s="79" t="s">
        <v>77</v>
      </c>
      <c r="BT78" s="79" t="s">
        <v>77</v>
      </c>
      <c r="BU78" s="72" t="s">
        <v>78</v>
      </c>
      <c r="BV78" s="24"/>
      <c r="BW78" s="25" t="s">
        <v>178</v>
      </c>
      <c r="BX78" s="25" t="s">
        <v>80</v>
      </c>
    </row>
    <row r="79" spans="1:76" ht="20.399999999999999" x14ac:dyDescent="0.3">
      <c r="A79" s="60">
        <v>78</v>
      </c>
      <c r="B79" s="60" t="s">
        <v>173</v>
      </c>
      <c r="C79" s="78" t="s">
        <v>39</v>
      </c>
      <c r="D79" s="78" t="s">
        <v>199</v>
      </c>
      <c r="E79" s="59" t="s">
        <v>212</v>
      </c>
      <c r="F79" s="48">
        <v>5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48">
        <v>5</v>
      </c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77">
        <v>1</v>
      </c>
      <c r="AP79" s="68"/>
      <c r="AQ79" s="68"/>
      <c r="AR79" s="68"/>
      <c r="AS79" s="68"/>
      <c r="AT79" s="68">
        <v>3</v>
      </c>
      <c r="AU79" s="68"/>
      <c r="AV79" s="68"/>
      <c r="AW79" s="68"/>
      <c r="AX79" s="68"/>
      <c r="AY79" s="68"/>
      <c r="AZ79" s="68"/>
      <c r="BA79" s="48"/>
      <c r="BB79" s="68">
        <v>1</v>
      </c>
      <c r="BC79" s="48"/>
      <c r="BD79" s="48"/>
      <c r="BE79" s="48"/>
      <c r="BF79" s="68"/>
      <c r="BG79" s="48">
        <v>3</v>
      </c>
      <c r="BH79" s="48"/>
      <c r="BI79" s="48"/>
      <c r="BJ79" s="48"/>
      <c r="BK79" s="48"/>
      <c r="BL79" s="48">
        <v>1</v>
      </c>
      <c r="BM79" s="48"/>
      <c r="BN79" s="48"/>
      <c r="BO79" s="48"/>
      <c r="BP79" s="63">
        <f t="shared" si="9"/>
        <v>4</v>
      </c>
      <c r="BQ79" s="63">
        <f t="shared" si="7"/>
        <v>1</v>
      </c>
      <c r="BR79" s="63">
        <f t="shared" si="8"/>
        <v>5</v>
      </c>
      <c r="BS79" s="79" t="s">
        <v>77</v>
      </c>
      <c r="BT79" s="79" t="s">
        <v>77</v>
      </c>
      <c r="BU79" s="72" t="s">
        <v>78</v>
      </c>
      <c r="BV79" s="24"/>
      <c r="BW79" s="25" t="s">
        <v>178</v>
      </c>
      <c r="BX79" s="25" t="s">
        <v>80</v>
      </c>
    </row>
    <row r="80" spans="1:76" ht="20.399999999999999" x14ac:dyDescent="0.3">
      <c r="A80" s="60">
        <v>79</v>
      </c>
      <c r="B80" s="60" t="s">
        <v>173</v>
      </c>
      <c r="C80" s="78" t="s">
        <v>39</v>
      </c>
      <c r="D80" s="78" t="s">
        <v>199</v>
      </c>
      <c r="E80" s="59" t="s">
        <v>213</v>
      </c>
      <c r="F80" s="48">
        <v>5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48">
        <v>5</v>
      </c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77">
        <v>1</v>
      </c>
      <c r="AP80" s="68"/>
      <c r="AQ80" s="68">
        <v>3</v>
      </c>
      <c r="AR80" s="68"/>
      <c r="AS80" s="68"/>
      <c r="AT80" s="68"/>
      <c r="AU80" s="68"/>
      <c r="AV80" s="68"/>
      <c r="AW80" s="68"/>
      <c r="AX80" s="68"/>
      <c r="AY80" s="68"/>
      <c r="AZ80" s="68"/>
      <c r="BA80" s="48"/>
      <c r="BB80" s="68">
        <v>1</v>
      </c>
      <c r="BC80" s="48"/>
      <c r="BD80" s="48"/>
      <c r="BE80" s="48"/>
      <c r="BF80" s="68"/>
      <c r="BG80" s="48">
        <v>3</v>
      </c>
      <c r="BH80" s="48"/>
      <c r="BI80" s="48"/>
      <c r="BJ80" s="48"/>
      <c r="BK80" s="48"/>
      <c r="BL80" s="48">
        <v>1</v>
      </c>
      <c r="BM80" s="48"/>
      <c r="BN80" s="48"/>
      <c r="BO80" s="48"/>
      <c r="BP80" s="63">
        <f t="shared" si="9"/>
        <v>4</v>
      </c>
      <c r="BQ80" s="63">
        <f t="shared" si="7"/>
        <v>1</v>
      </c>
      <c r="BR80" s="63">
        <f t="shared" si="8"/>
        <v>5</v>
      </c>
      <c r="BS80" s="79" t="s">
        <v>77</v>
      </c>
      <c r="BT80" s="79" t="s">
        <v>77</v>
      </c>
      <c r="BU80" s="72" t="s">
        <v>78</v>
      </c>
      <c r="BV80" s="24"/>
      <c r="BW80" s="25" t="s">
        <v>178</v>
      </c>
      <c r="BX80" s="25" t="s">
        <v>80</v>
      </c>
    </row>
    <row r="81" spans="1:76" ht="20.399999999999999" x14ac:dyDescent="0.3">
      <c r="A81" s="60">
        <v>80</v>
      </c>
      <c r="B81" s="60" t="s">
        <v>173</v>
      </c>
      <c r="C81" s="78" t="s">
        <v>44</v>
      </c>
      <c r="D81" s="78" t="s">
        <v>199</v>
      </c>
      <c r="E81" s="59" t="s">
        <v>214</v>
      </c>
      <c r="F81" s="48">
        <v>5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48">
        <v>5</v>
      </c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77">
        <v>1</v>
      </c>
      <c r="AU81" s="68"/>
      <c r="AV81" s="68"/>
      <c r="AW81" s="68"/>
      <c r="AX81" s="68">
        <v>3</v>
      </c>
      <c r="AY81" s="68"/>
      <c r="AZ81" s="68"/>
      <c r="BA81" s="48"/>
      <c r="BB81" s="68">
        <v>1</v>
      </c>
      <c r="BC81" s="48"/>
      <c r="BD81" s="48"/>
      <c r="BE81" s="48"/>
      <c r="BF81" s="68"/>
      <c r="BG81" s="48">
        <v>3</v>
      </c>
      <c r="BH81" s="48"/>
      <c r="BI81" s="48"/>
      <c r="BJ81" s="48"/>
      <c r="BK81" s="48"/>
      <c r="BL81" s="48">
        <v>1</v>
      </c>
      <c r="BM81" s="48"/>
      <c r="BN81" s="48"/>
      <c r="BO81" s="48"/>
      <c r="BP81" s="63">
        <f t="shared" si="9"/>
        <v>4</v>
      </c>
      <c r="BQ81" s="63">
        <f t="shared" si="7"/>
        <v>1</v>
      </c>
      <c r="BR81" s="63">
        <f t="shared" si="8"/>
        <v>5</v>
      </c>
      <c r="BS81" s="79" t="s">
        <v>77</v>
      </c>
      <c r="BT81" s="79" t="s">
        <v>77</v>
      </c>
      <c r="BU81" s="72" t="s">
        <v>78</v>
      </c>
      <c r="BV81" s="24"/>
      <c r="BW81" s="25" t="s">
        <v>178</v>
      </c>
      <c r="BX81" s="25" t="s">
        <v>80</v>
      </c>
    </row>
    <row r="82" spans="1:76" ht="20.399999999999999" x14ac:dyDescent="0.3">
      <c r="A82" s="60">
        <v>81</v>
      </c>
      <c r="B82" s="60" t="s">
        <v>173</v>
      </c>
      <c r="C82" s="78" t="s">
        <v>41</v>
      </c>
      <c r="D82" s="78" t="s">
        <v>199</v>
      </c>
      <c r="E82" s="59" t="s">
        <v>215</v>
      </c>
      <c r="F82" s="48">
        <v>5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48">
        <v>5</v>
      </c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77">
        <v>1</v>
      </c>
      <c r="AR82" s="68">
        <v>3</v>
      </c>
      <c r="AS82" s="68"/>
      <c r="AT82" s="68"/>
      <c r="AU82" s="68"/>
      <c r="AV82" s="68"/>
      <c r="AW82" s="68"/>
      <c r="AX82" s="68"/>
      <c r="AY82" s="68"/>
      <c r="AZ82" s="68"/>
      <c r="BA82" s="48"/>
      <c r="BB82" s="68">
        <v>1</v>
      </c>
      <c r="BC82" s="48"/>
      <c r="BD82" s="48"/>
      <c r="BE82" s="48"/>
      <c r="BF82" s="68"/>
      <c r="BG82" s="48">
        <v>3</v>
      </c>
      <c r="BH82" s="48"/>
      <c r="BI82" s="48"/>
      <c r="BJ82" s="48"/>
      <c r="BK82" s="48"/>
      <c r="BL82" s="48">
        <v>1</v>
      </c>
      <c r="BM82" s="48"/>
      <c r="BN82" s="48"/>
      <c r="BO82" s="48"/>
      <c r="BP82" s="63">
        <f t="shared" si="9"/>
        <v>4</v>
      </c>
      <c r="BQ82" s="63">
        <f t="shared" si="7"/>
        <v>1</v>
      </c>
      <c r="BR82" s="63">
        <f t="shared" si="8"/>
        <v>5</v>
      </c>
      <c r="BS82" s="79" t="s">
        <v>77</v>
      </c>
      <c r="BT82" s="79" t="s">
        <v>77</v>
      </c>
      <c r="BU82" s="72" t="s">
        <v>78</v>
      </c>
      <c r="BV82" s="24"/>
      <c r="BW82" s="25" t="s">
        <v>178</v>
      </c>
      <c r="BX82" s="25" t="s">
        <v>80</v>
      </c>
    </row>
    <row r="83" spans="1:76" ht="30.6" x14ac:dyDescent="0.3">
      <c r="A83" s="60">
        <v>82</v>
      </c>
      <c r="B83" s="60" t="s">
        <v>173</v>
      </c>
      <c r="C83" s="78" t="s">
        <v>39</v>
      </c>
      <c r="D83" s="78" t="s">
        <v>199</v>
      </c>
      <c r="E83" s="59" t="s">
        <v>216</v>
      </c>
      <c r="F83" s="48">
        <v>5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48">
        <v>5</v>
      </c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77">
        <v>1</v>
      </c>
      <c r="AP83" s="68"/>
      <c r="AQ83" s="68"/>
      <c r="AR83" s="68"/>
      <c r="AS83" s="68"/>
      <c r="AT83" s="68">
        <v>3</v>
      </c>
      <c r="AU83" s="68"/>
      <c r="AV83" s="68"/>
      <c r="AW83" s="68"/>
      <c r="AX83" s="68"/>
      <c r="AY83" s="68"/>
      <c r="AZ83" s="68"/>
      <c r="BA83" s="61"/>
      <c r="BB83" s="68">
        <v>1</v>
      </c>
      <c r="BC83" s="61"/>
      <c r="BD83" s="61"/>
      <c r="BE83" s="61"/>
      <c r="BF83" s="68"/>
      <c r="BG83" s="61">
        <v>3</v>
      </c>
      <c r="BH83" s="61"/>
      <c r="BI83" s="61"/>
      <c r="BJ83" s="61"/>
      <c r="BK83" s="68"/>
      <c r="BL83" s="68">
        <v>1</v>
      </c>
      <c r="BM83" s="68"/>
      <c r="BN83" s="68"/>
      <c r="BO83" s="68"/>
      <c r="BP83" s="63">
        <f t="shared" si="9"/>
        <v>4</v>
      </c>
      <c r="BQ83" s="63">
        <f t="shared" si="7"/>
        <v>1</v>
      </c>
      <c r="BR83" s="63">
        <f t="shared" si="8"/>
        <v>5</v>
      </c>
      <c r="BS83" s="79" t="s">
        <v>77</v>
      </c>
      <c r="BT83" s="79" t="s">
        <v>77</v>
      </c>
      <c r="BU83" s="72" t="s">
        <v>78</v>
      </c>
      <c r="BV83" s="24"/>
      <c r="BW83" s="25" t="s">
        <v>178</v>
      </c>
      <c r="BX83" s="25" t="s">
        <v>80</v>
      </c>
    </row>
    <row r="84" spans="1:76" ht="30.6" x14ac:dyDescent="0.3">
      <c r="A84" s="60">
        <v>83</v>
      </c>
      <c r="B84" s="60" t="s">
        <v>173</v>
      </c>
      <c r="C84" s="78" t="s">
        <v>39</v>
      </c>
      <c r="D84" s="78" t="s">
        <v>199</v>
      </c>
      <c r="E84" s="59" t="s">
        <v>217</v>
      </c>
      <c r="F84" s="48">
        <v>5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48">
        <v>5</v>
      </c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77">
        <v>1</v>
      </c>
      <c r="AP84" s="68"/>
      <c r="AQ84" s="68">
        <v>3</v>
      </c>
      <c r="AR84" s="68"/>
      <c r="AS84" s="68"/>
      <c r="AT84" s="68"/>
      <c r="AU84" s="68"/>
      <c r="AV84" s="68"/>
      <c r="AW84" s="68"/>
      <c r="AX84" s="68"/>
      <c r="AY84" s="68"/>
      <c r="AZ84" s="68"/>
      <c r="BA84" s="61"/>
      <c r="BB84" s="68">
        <v>1</v>
      </c>
      <c r="BC84" s="61"/>
      <c r="BD84" s="61"/>
      <c r="BE84" s="61"/>
      <c r="BF84" s="68"/>
      <c r="BG84" s="61">
        <v>3</v>
      </c>
      <c r="BH84" s="61"/>
      <c r="BI84" s="61"/>
      <c r="BJ84" s="61"/>
      <c r="BK84" s="68"/>
      <c r="BL84" s="68">
        <v>1</v>
      </c>
      <c r="BM84" s="68"/>
      <c r="BN84" s="68"/>
      <c r="BO84" s="68"/>
      <c r="BP84" s="63">
        <f t="shared" si="9"/>
        <v>4</v>
      </c>
      <c r="BQ84" s="63">
        <f t="shared" si="7"/>
        <v>1</v>
      </c>
      <c r="BR84" s="63">
        <f t="shared" si="8"/>
        <v>5</v>
      </c>
      <c r="BS84" s="79" t="s">
        <v>77</v>
      </c>
      <c r="BT84" s="79" t="s">
        <v>77</v>
      </c>
      <c r="BU84" s="72" t="s">
        <v>78</v>
      </c>
      <c r="BV84" s="80"/>
      <c r="BW84" s="25" t="s">
        <v>178</v>
      </c>
      <c r="BX84" s="25" t="s">
        <v>80</v>
      </c>
    </row>
    <row r="85" spans="1:76" ht="20.399999999999999" x14ac:dyDescent="0.3">
      <c r="A85" s="60">
        <v>84</v>
      </c>
      <c r="B85" s="60" t="s">
        <v>173</v>
      </c>
      <c r="C85" s="78" t="s">
        <v>39</v>
      </c>
      <c r="D85" s="78" t="s">
        <v>199</v>
      </c>
      <c r="E85" s="59" t="s">
        <v>218</v>
      </c>
      <c r="F85" s="48">
        <v>5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48">
        <v>5</v>
      </c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77">
        <v>3</v>
      </c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1"/>
      <c r="BB85" s="68"/>
      <c r="BC85" s="61"/>
      <c r="BD85" s="61"/>
      <c r="BE85" s="61"/>
      <c r="BF85" s="68"/>
      <c r="BG85" s="61">
        <v>3</v>
      </c>
      <c r="BH85" s="61"/>
      <c r="BI85" s="61"/>
      <c r="BJ85" s="61"/>
      <c r="BK85" s="68"/>
      <c r="BL85" s="68"/>
      <c r="BM85" s="68"/>
      <c r="BN85" s="68"/>
      <c r="BO85" s="68">
        <v>5</v>
      </c>
      <c r="BP85" s="63">
        <f t="shared" si="9"/>
        <v>3</v>
      </c>
      <c r="BQ85" s="63">
        <f t="shared" si="7"/>
        <v>5</v>
      </c>
      <c r="BR85" s="63">
        <f t="shared" si="8"/>
        <v>8</v>
      </c>
      <c r="BS85" s="79" t="s">
        <v>77</v>
      </c>
      <c r="BT85" s="79" t="s">
        <v>77</v>
      </c>
      <c r="BU85" s="72" t="s">
        <v>78</v>
      </c>
      <c r="BV85" s="24"/>
      <c r="BW85" s="25" t="s">
        <v>178</v>
      </c>
      <c r="BX85" s="25" t="s">
        <v>80</v>
      </c>
    </row>
    <row r="86" spans="1:76" ht="20.399999999999999" x14ac:dyDescent="0.3">
      <c r="A86" s="60">
        <v>85</v>
      </c>
      <c r="B86" s="60" t="s">
        <v>173</v>
      </c>
      <c r="C86" s="78" t="s">
        <v>33</v>
      </c>
      <c r="D86" s="78" t="s">
        <v>199</v>
      </c>
      <c r="E86" s="59" t="s">
        <v>219</v>
      </c>
      <c r="F86" s="48">
        <v>5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48">
        <v>5</v>
      </c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77">
        <v>5</v>
      </c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>
        <v>3</v>
      </c>
      <c r="AU86" s="68"/>
      <c r="AV86" s="68"/>
      <c r="AW86" s="68"/>
      <c r="AX86" s="68"/>
      <c r="AY86" s="68"/>
      <c r="AZ86" s="68"/>
      <c r="BA86" s="61"/>
      <c r="BB86" s="68"/>
      <c r="BC86" s="61"/>
      <c r="BD86" s="61"/>
      <c r="BE86" s="61"/>
      <c r="BF86" s="68"/>
      <c r="BG86" s="61">
        <v>3</v>
      </c>
      <c r="BH86" s="61"/>
      <c r="BI86" s="61">
        <v>5</v>
      </c>
      <c r="BJ86" s="61"/>
      <c r="BK86" s="68"/>
      <c r="BL86" s="68"/>
      <c r="BM86" s="68"/>
      <c r="BN86" s="68">
        <v>3</v>
      </c>
      <c r="BO86" s="68"/>
      <c r="BP86" s="63">
        <f>SUM(BA86:BK86)</f>
        <v>8</v>
      </c>
      <c r="BQ86" s="63">
        <f t="shared" si="7"/>
        <v>3</v>
      </c>
      <c r="BR86" s="63">
        <f t="shared" si="8"/>
        <v>11</v>
      </c>
      <c r="BS86" s="28" t="s">
        <v>78</v>
      </c>
      <c r="BT86" s="71" t="s">
        <v>78</v>
      </c>
      <c r="BU86" s="72" t="s">
        <v>78</v>
      </c>
      <c r="BV86" s="25" t="s">
        <v>106</v>
      </c>
      <c r="BW86" s="25" t="s">
        <v>178</v>
      </c>
      <c r="BX86" s="25"/>
    </row>
    <row r="87" spans="1:76" ht="20.399999999999999" x14ac:dyDescent="0.3">
      <c r="A87" s="60">
        <v>86</v>
      </c>
      <c r="B87" s="60" t="s">
        <v>173</v>
      </c>
      <c r="C87" s="78" t="s">
        <v>33</v>
      </c>
      <c r="D87" s="78" t="s">
        <v>199</v>
      </c>
      <c r="E87" s="59" t="s">
        <v>220</v>
      </c>
      <c r="F87" s="48">
        <v>5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48">
        <v>5</v>
      </c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77">
        <v>5</v>
      </c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>
        <v>3</v>
      </c>
      <c r="AU87" s="68"/>
      <c r="AV87" s="68"/>
      <c r="AW87" s="68"/>
      <c r="AX87" s="68"/>
      <c r="AY87" s="68"/>
      <c r="AZ87" s="68"/>
      <c r="BA87" s="61"/>
      <c r="BB87" s="68"/>
      <c r="BC87" s="61"/>
      <c r="BD87" s="61"/>
      <c r="BE87" s="61"/>
      <c r="BF87" s="68"/>
      <c r="BG87" s="61">
        <v>3</v>
      </c>
      <c r="BH87" s="61"/>
      <c r="BI87" s="61">
        <v>5</v>
      </c>
      <c r="BJ87" s="61"/>
      <c r="BK87" s="68"/>
      <c r="BL87" s="68"/>
      <c r="BM87" s="68"/>
      <c r="BN87" s="68">
        <v>3</v>
      </c>
      <c r="BO87" s="68"/>
      <c r="BP87" s="63">
        <f t="shared" si="9"/>
        <v>8</v>
      </c>
      <c r="BQ87" s="63">
        <f t="shared" si="7"/>
        <v>3</v>
      </c>
      <c r="BR87" s="63">
        <f t="shared" si="8"/>
        <v>11</v>
      </c>
      <c r="BS87" s="28" t="s">
        <v>78</v>
      </c>
      <c r="BT87" s="71" t="s">
        <v>78</v>
      </c>
      <c r="BU87" s="72" t="s">
        <v>78</v>
      </c>
      <c r="BV87" s="25" t="s">
        <v>106</v>
      </c>
      <c r="BW87" s="25" t="s">
        <v>178</v>
      </c>
      <c r="BX87" s="25"/>
    </row>
    <row r="88" spans="1:76" ht="40.799999999999997" x14ac:dyDescent="0.3">
      <c r="A88" s="60">
        <v>87</v>
      </c>
      <c r="B88" s="60" t="s">
        <v>173</v>
      </c>
      <c r="C88" s="78" t="s">
        <v>88</v>
      </c>
      <c r="D88" s="78" t="s">
        <v>174</v>
      </c>
      <c r="E88" s="59" t="s">
        <v>221</v>
      </c>
      <c r="F88" s="48">
        <v>5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48">
        <v>5</v>
      </c>
      <c r="O88" s="68"/>
      <c r="P88" s="68"/>
      <c r="Q88" s="68"/>
      <c r="R88" s="68"/>
      <c r="S88" s="68"/>
      <c r="T88" s="68"/>
      <c r="U88" s="68"/>
      <c r="V88" s="77">
        <v>1</v>
      </c>
      <c r="W88" s="68">
        <v>3</v>
      </c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1"/>
      <c r="BB88" s="68">
        <v>1</v>
      </c>
      <c r="BC88" s="61"/>
      <c r="BD88" s="61"/>
      <c r="BE88" s="61"/>
      <c r="BF88" s="68"/>
      <c r="BG88" s="61">
        <v>3</v>
      </c>
      <c r="BH88" s="61"/>
      <c r="BI88" s="61"/>
      <c r="BJ88" s="61"/>
      <c r="BK88" s="68"/>
      <c r="BL88" s="68"/>
      <c r="BM88" s="68"/>
      <c r="BN88" s="68">
        <v>1</v>
      </c>
      <c r="BO88" s="68"/>
      <c r="BP88" s="63">
        <f t="shared" si="9"/>
        <v>4</v>
      </c>
      <c r="BQ88" s="63">
        <f t="shared" si="7"/>
        <v>1</v>
      </c>
      <c r="BR88" s="63">
        <f t="shared" si="8"/>
        <v>5</v>
      </c>
      <c r="BS88" s="79" t="s">
        <v>77</v>
      </c>
      <c r="BT88" s="79" t="s">
        <v>77</v>
      </c>
      <c r="BU88" s="72" t="s">
        <v>78</v>
      </c>
      <c r="BV88" s="24"/>
      <c r="BW88" s="25" t="s">
        <v>178</v>
      </c>
      <c r="BX88" s="25" t="s">
        <v>80</v>
      </c>
    </row>
    <row r="89" spans="1:76" ht="40.799999999999997" x14ac:dyDescent="0.3">
      <c r="A89" s="60">
        <v>88</v>
      </c>
      <c r="B89" s="60" t="s">
        <v>173</v>
      </c>
      <c r="C89" s="78" t="s">
        <v>88</v>
      </c>
      <c r="D89" s="78" t="s">
        <v>174</v>
      </c>
      <c r="E89" s="59" t="s">
        <v>222</v>
      </c>
      <c r="F89" s="48">
        <v>5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48">
        <v>5</v>
      </c>
      <c r="O89" s="68"/>
      <c r="P89" s="68"/>
      <c r="Q89" s="68"/>
      <c r="R89" s="68"/>
      <c r="S89" s="68"/>
      <c r="T89" s="68"/>
      <c r="U89" s="68"/>
      <c r="V89" s="77">
        <v>1</v>
      </c>
      <c r="W89" s="68">
        <v>3</v>
      </c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1"/>
      <c r="BB89" s="68">
        <v>1</v>
      </c>
      <c r="BC89" s="61"/>
      <c r="BD89" s="61"/>
      <c r="BE89" s="61"/>
      <c r="BF89" s="68"/>
      <c r="BG89" s="61">
        <v>3</v>
      </c>
      <c r="BH89" s="61"/>
      <c r="BI89" s="61"/>
      <c r="BJ89" s="61"/>
      <c r="BK89" s="68"/>
      <c r="BL89" s="68"/>
      <c r="BM89" s="68"/>
      <c r="BN89" s="68">
        <v>1</v>
      </c>
      <c r="BO89" s="68"/>
      <c r="BP89" s="63">
        <f t="shared" si="9"/>
        <v>4</v>
      </c>
      <c r="BQ89" s="63">
        <f t="shared" si="7"/>
        <v>1</v>
      </c>
      <c r="BR89" s="63">
        <f t="shared" si="8"/>
        <v>5</v>
      </c>
      <c r="BS89" s="79" t="s">
        <v>77</v>
      </c>
      <c r="BT89" s="79" t="s">
        <v>77</v>
      </c>
      <c r="BU89" s="72" t="s">
        <v>78</v>
      </c>
      <c r="BV89" s="24"/>
      <c r="BW89" s="25" t="s">
        <v>178</v>
      </c>
      <c r="BX89" s="25" t="s">
        <v>80</v>
      </c>
    </row>
    <row r="90" spans="1:76" ht="40.799999999999997" x14ac:dyDescent="0.3">
      <c r="A90" s="60">
        <v>89</v>
      </c>
      <c r="B90" s="60" t="s">
        <v>173</v>
      </c>
      <c r="C90" s="78" t="s">
        <v>88</v>
      </c>
      <c r="D90" s="78" t="s">
        <v>174</v>
      </c>
      <c r="E90" s="59" t="s">
        <v>223</v>
      </c>
      <c r="F90" s="48">
        <v>5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48">
        <v>5</v>
      </c>
      <c r="O90" s="68"/>
      <c r="P90" s="68"/>
      <c r="Q90" s="68"/>
      <c r="R90" s="68"/>
      <c r="S90" s="68"/>
      <c r="T90" s="68"/>
      <c r="U90" s="68"/>
      <c r="V90" s="77">
        <v>1</v>
      </c>
      <c r="W90" s="68">
        <v>3</v>
      </c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1"/>
      <c r="BB90" s="68">
        <v>1</v>
      </c>
      <c r="BC90" s="61"/>
      <c r="BD90" s="61"/>
      <c r="BE90" s="61"/>
      <c r="BF90" s="68"/>
      <c r="BG90" s="61">
        <v>3</v>
      </c>
      <c r="BH90" s="61"/>
      <c r="BI90" s="61"/>
      <c r="BJ90" s="61"/>
      <c r="BK90" s="68"/>
      <c r="BL90" s="68"/>
      <c r="BM90" s="68"/>
      <c r="BN90" s="68">
        <v>1</v>
      </c>
      <c r="BO90" s="68"/>
      <c r="BP90" s="63">
        <f t="shared" si="9"/>
        <v>4</v>
      </c>
      <c r="BQ90" s="63">
        <f t="shared" si="7"/>
        <v>1</v>
      </c>
      <c r="BR90" s="63">
        <f t="shared" si="8"/>
        <v>5</v>
      </c>
      <c r="BS90" s="79" t="s">
        <v>77</v>
      </c>
      <c r="BT90" s="79" t="s">
        <v>77</v>
      </c>
      <c r="BU90" s="72" t="s">
        <v>78</v>
      </c>
      <c r="BV90" s="24"/>
      <c r="BW90" s="25" t="s">
        <v>178</v>
      </c>
      <c r="BX90" s="25" t="s">
        <v>80</v>
      </c>
    </row>
    <row r="91" spans="1:76" ht="40.799999999999997" x14ac:dyDescent="0.3">
      <c r="A91" s="60">
        <v>90</v>
      </c>
      <c r="B91" s="60" t="s">
        <v>173</v>
      </c>
      <c r="C91" s="78" t="s">
        <v>88</v>
      </c>
      <c r="D91" s="78" t="s">
        <v>174</v>
      </c>
      <c r="E91" s="59" t="s">
        <v>224</v>
      </c>
      <c r="F91" s="48">
        <v>5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48">
        <v>5</v>
      </c>
      <c r="O91" s="68"/>
      <c r="P91" s="68"/>
      <c r="Q91" s="68"/>
      <c r="R91" s="68"/>
      <c r="S91" s="68"/>
      <c r="T91" s="68"/>
      <c r="U91" s="68"/>
      <c r="V91" s="77">
        <v>1</v>
      </c>
      <c r="W91" s="68">
        <v>3</v>
      </c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4"/>
      <c r="AU91" s="68"/>
      <c r="AV91" s="68"/>
      <c r="AW91" s="68"/>
      <c r="AX91" s="68"/>
      <c r="AY91" s="68"/>
      <c r="AZ91" s="68"/>
      <c r="BA91" s="61"/>
      <c r="BB91" s="68">
        <v>1</v>
      </c>
      <c r="BC91" s="61"/>
      <c r="BD91" s="61"/>
      <c r="BE91" s="61"/>
      <c r="BF91" s="68"/>
      <c r="BG91" s="61">
        <v>3</v>
      </c>
      <c r="BH91" s="61"/>
      <c r="BI91" s="61"/>
      <c r="BJ91" s="61"/>
      <c r="BK91" s="48"/>
      <c r="BL91" s="48"/>
      <c r="BM91" s="48"/>
      <c r="BN91" s="48">
        <v>1</v>
      </c>
      <c r="BO91" s="48"/>
      <c r="BP91" s="63">
        <f t="shared" si="9"/>
        <v>4</v>
      </c>
      <c r="BQ91" s="63">
        <f t="shared" si="7"/>
        <v>1</v>
      </c>
      <c r="BR91" s="63">
        <f t="shared" si="8"/>
        <v>5</v>
      </c>
      <c r="BS91" s="79" t="s">
        <v>77</v>
      </c>
      <c r="BT91" s="79" t="s">
        <v>77</v>
      </c>
      <c r="BU91" s="72" t="s">
        <v>78</v>
      </c>
      <c r="BV91" s="24"/>
      <c r="BW91" s="25" t="s">
        <v>178</v>
      </c>
      <c r="BX91" s="25" t="s">
        <v>80</v>
      </c>
    </row>
    <row r="92" spans="1:76" ht="30.6" x14ac:dyDescent="0.3">
      <c r="A92" s="60">
        <v>91</v>
      </c>
      <c r="B92" s="60" t="s">
        <v>173</v>
      </c>
      <c r="C92" s="78" t="s">
        <v>44</v>
      </c>
      <c r="D92" s="78" t="s">
        <v>199</v>
      </c>
      <c r="E92" s="59" t="s">
        <v>225</v>
      </c>
      <c r="F92" s="48">
        <v>5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48">
        <v>5</v>
      </c>
      <c r="O92" s="68"/>
      <c r="P92" s="68"/>
      <c r="Q92" s="68"/>
      <c r="R92" s="68"/>
      <c r="S92" s="68"/>
      <c r="T92" s="77">
        <v>1</v>
      </c>
      <c r="U92" s="68"/>
      <c r="V92" s="68">
        <v>3</v>
      </c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48"/>
      <c r="BB92" s="68">
        <v>1</v>
      </c>
      <c r="BC92" s="48"/>
      <c r="BD92" s="48"/>
      <c r="BE92" s="48"/>
      <c r="BF92" s="68"/>
      <c r="BG92" s="48">
        <v>3</v>
      </c>
      <c r="BH92" s="48"/>
      <c r="BI92" s="48"/>
      <c r="BJ92" s="48"/>
      <c r="BK92" s="48"/>
      <c r="BL92" s="48">
        <v>1</v>
      </c>
      <c r="BM92" s="48"/>
      <c r="BN92" s="48"/>
      <c r="BO92" s="48"/>
      <c r="BP92" s="63">
        <f t="shared" si="9"/>
        <v>4</v>
      </c>
      <c r="BQ92" s="63">
        <f t="shared" si="7"/>
        <v>1</v>
      </c>
      <c r="BR92" s="63">
        <f t="shared" si="8"/>
        <v>5</v>
      </c>
      <c r="BS92" s="79" t="s">
        <v>77</v>
      </c>
      <c r="BT92" s="79" t="s">
        <v>77</v>
      </c>
      <c r="BU92" s="72" t="s">
        <v>78</v>
      </c>
      <c r="BV92" s="24"/>
      <c r="BW92" s="25" t="s">
        <v>178</v>
      </c>
      <c r="BX92" s="25" t="s">
        <v>80</v>
      </c>
    </row>
    <row r="93" spans="1:76" ht="42" x14ac:dyDescent="0.3">
      <c r="A93" s="60">
        <v>92</v>
      </c>
      <c r="B93" s="60" t="s">
        <v>173</v>
      </c>
      <c r="C93" s="78" t="s">
        <v>27</v>
      </c>
      <c r="D93" s="78" t="s">
        <v>226</v>
      </c>
      <c r="E93" s="81" t="s">
        <v>227</v>
      </c>
      <c r="F93" s="48">
        <v>5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48">
        <v>5</v>
      </c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82">
        <v>3</v>
      </c>
      <c r="AA93" s="68"/>
      <c r="AB93" s="68"/>
      <c r="AC93" s="68"/>
      <c r="AD93" s="68"/>
      <c r="AE93" s="68"/>
      <c r="AF93" s="68"/>
      <c r="AG93" s="68"/>
      <c r="AH93" s="68"/>
      <c r="AI93" s="68"/>
      <c r="AJ93" s="83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48"/>
      <c r="BB93" s="68"/>
      <c r="BC93" s="48"/>
      <c r="BD93" s="48"/>
      <c r="BE93" s="48"/>
      <c r="BF93" s="68"/>
      <c r="BG93" s="48"/>
      <c r="BH93" s="48">
        <v>3</v>
      </c>
      <c r="BI93" s="48"/>
      <c r="BJ93" s="48"/>
      <c r="BK93" s="48"/>
      <c r="BL93" s="48"/>
      <c r="BM93" s="48"/>
      <c r="BN93" s="48">
        <v>1</v>
      </c>
      <c r="BO93" s="48"/>
      <c r="BP93" s="63">
        <f t="shared" si="9"/>
        <v>3</v>
      </c>
      <c r="BQ93" s="63">
        <f t="shared" si="7"/>
        <v>1</v>
      </c>
      <c r="BR93" s="63">
        <f t="shared" si="8"/>
        <v>4</v>
      </c>
      <c r="BS93" s="79" t="s">
        <v>77</v>
      </c>
      <c r="BT93" s="79" t="s">
        <v>77</v>
      </c>
      <c r="BU93" s="79" t="s">
        <v>77</v>
      </c>
      <c r="BV93" s="24" t="s">
        <v>228</v>
      </c>
      <c r="BW93" s="25" t="s">
        <v>178</v>
      </c>
      <c r="BX93" s="25" t="s">
        <v>229</v>
      </c>
    </row>
    <row r="94" spans="1:76" ht="42" x14ac:dyDescent="0.3">
      <c r="A94" s="60">
        <v>93</v>
      </c>
      <c r="B94" s="60" t="s">
        <v>173</v>
      </c>
      <c r="C94" s="78" t="s">
        <v>27</v>
      </c>
      <c r="D94" s="78" t="s">
        <v>226</v>
      </c>
      <c r="E94" s="81" t="s">
        <v>230</v>
      </c>
      <c r="F94" s="48">
        <v>5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48">
        <v>5</v>
      </c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82">
        <v>3</v>
      </c>
      <c r="AA94" s="68"/>
      <c r="AB94" s="68"/>
      <c r="AC94" s="68"/>
      <c r="AD94" s="68"/>
      <c r="AE94" s="68"/>
      <c r="AF94" s="68"/>
      <c r="AG94" s="68"/>
      <c r="AH94" s="68"/>
      <c r="AI94" s="68"/>
      <c r="AJ94" s="83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48"/>
      <c r="BB94" s="68"/>
      <c r="BC94" s="48"/>
      <c r="BD94" s="48"/>
      <c r="BE94" s="48"/>
      <c r="BF94" s="68"/>
      <c r="BG94" s="48"/>
      <c r="BH94" s="48">
        <v>3</v>
      </c>
      <c r="BI94" s="48"/>
      <c r="BJ94" s="48"/>
      <c r="BK94" s="48"/>
      <c r="BL94" s="48"/>
      <c r="BM94" s="48"/>
      <c r="BN94" s="48">
        <v>1</v>
      </c>
      <c r="BO94" s="48"/>
      <c r="BP94" s="63">
        <f t="shared" si="9"/>
        <v>3</v>
      </c>
      <c r="BQ94" s="63">
        <f t="shared" si="7"/>
        <v>1</v>
      </c>
      <c r="BR94" s="63">
        <f t="shared" si="8"/>
        <v>4</v>
      </c>
      <c r="BS94" s="79" t="s">
        <v>77</v>
      </c>
      <c r="BT94" s="79" t="s">
        <v>77</v>
      </c>
      <c r="BU94" s="79" t="s">
        <v>77</v>
      </c>
      <c r="BV94" s="24" t="s">
        <v>228</v>
      </c>
      <c r="BW94" s="25" t="s">
        <v>178</v>
      </c>
      <c r="BX94" s="25" t="s">
        <v>229</v>
      </c>
    </row>
    <row r="95" spans="1:76" ht="42" x14ac:dyDescent="0.3">
      <c r="A95" s="60">
        <v>94</v>
      </c>
      <c r="B95" s="60" t="s">
        <v>173</v>
      </c>
      <c r="C95" s="78" t="s">
        <v>27</v>
      </c>
      <c r="D95" s="78" t="s">
        <v>226</v>
      </c>
      <c r="E95" s="81" t="s">
        <v>231</v>
      </c>
      <c r="F95" s="48">
        <v>5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48">
        <v>5</v>
      </c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82">
        <v>3</v>
      </c>
      <c r="AA95" s="68"/>
      <c r="AB95" s="68"/>
      <c r="AC95" s="68"/>
      <c r="AD95" s="68"/>
      <c r="AE95" s="68"/>
      <c r="AF95" s="68"/>
      <c r="AG95" s="68"/>
      <c r="AH95" s="68"/>
      <c r="AI95" s="68"/>
      <c r="AJ95" s="83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48"/>
      <c r="BB95" s="68"/>
      <c r="BC95" s="48"/>
      <c r="BD95" s="48"/>
      <c r="BE95" s="48"/>
      <c r="BF95" s="68"/>
      <c r="BG95" s="48"/>
      <c r="BH95" s="48">
        <v>3</v>
      </c>
      <c r="BI95" s="48"/>
      <c r="BJ95" s="48"/>
      <c r="BK95" s="48"/>
      <c r="BL95" s="48"/>
      <c r="BM95" s="48"/>
      <c r="BN95" s="48">
        <v>1</v>
      </c>
      <c r="BO95" s="48"/>
      <c r="BP95" s="63">
        <f t="shared" si="9"/>
        <v>3</v>
      </c>
      <c r="BQ95" s="63">
        <f t="shared" si="7"/>
        <v>1</v>
      </c>
      <c r="BR95" s="63">
        <f t="shared" si="8"/>
        <v>4</v>
      </c>
      <c r="BS95" s="79" t="s">
        <v>77</v>
      </c>
      <c r="BT95" s="79" t="s">
        <v>77</v>
      </c>
      <c r="BU95" s="79" t="s">
        <v>77</v>
      </c>
      <c r="BV95" s="24" t="s">
        <v>228</v>
      </c>
      <c r="BW95" s="25" t="s">
        <v>178</v>
      </c>
      <c r="BX95" s="25" t="s">
        <v>229</v>
      </c>
    </row>
    <row r="96" spans="1:76" ht="42" x14ac:dyDescent="0.3">
      <c r="A96" s="60">
        <v>95</v>
      </c>
      <c r="B96" s="60" t="s">
        <v>173</v>
      </c>
      <c r="C96" s="78" t="s">
        <v>27</v>
      </c>
      <c r="D96" s="78" t="s">
        <v>226</v>
      </c>
      <c r="E96" s="81" t="s">
        <v>232</v>
      </c>
      <c r="F96" s="48">
        <v>5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48">
        <v>5</v>
      </c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82">
        <v>3</v>
      </c>
      <c r="AA96" s="25"/>
      <c r="AB96" s="25"/>
      <c r="AC96" s="25"/>
      <c r="AD96" s="25"/>
      <c r="AE96" s="25"/>
      <c r="AF96" s="25"/>
      <c r="AG96" s="25"/>
      <c r="AH96" s="25"/>
      <c r="AI96" s="25"/>
      <c r="AJ96" s="83"/>
      <c r="AK96" s="68"/>
      <c r="AL96" s="68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68"/>
      <c r="BA96" s="25"/>
      <c r="BB96" s="68"/>
      <c r="BC96" s="25"/>
      <c r="BD96" s="48"/>
      <c r="BE96" s="25"/>
      <c r="BF96" s="68"/>
      <c r="BG96" s="48"/>
      <c r="BH96" s="48">
        <v>3</v>
      </c>
      <c r="BI96" s="25"/>
      <c r="BJ96" s="25"/>
      <c r="BK96" s="25"/>
      <c r="BL96" s="25"/>
      <c r="BM96" s="25"/>
      <c r="BN96" s="48">
        <v>1</v>
      </c>
      <c r="BO96" s="25"/>
      <c r="BP96" s="63">
        <f t="shared" si="9"/>
        <v>3</v>
      </c>
      <c r="BQ96" s="63">
        <f t="shared" si="7"/>
        <v>1</v>
      </c>
      <c r="BR96" s="63">
        <f t="shared" si="8"/>
        <v>4</v>
      </c>
      <c r="BS96" s="79" t="s">
        <v>77</v>
      </c>
      <c r="BT96" s="79" t="s">
        <v>77</v>
      </c>
      <c r="BU96" s="79" t="s">
        <v>77</v>
      </c>
      <c r="BV96" s="24" t="s">
        <v>228</v>
      </c>
      <c r="BW96" s="25" t="s">
        <v>178</v>
      </c>
      <c r="BX96" s="25" t="s">
        <v>229</v>
      </c>
    </row>
    <row r="97" spans="1:76" ht="40.799999999999997" x14ac:dyDescent="0.3">
      <c r="A97" s="60">
        <v>96</v>
      </c>
      <c r="B97" s="60" t="s">
        <v>173</v>
      </c>
      <c r="C97" s="78" t="s">
        <v>24</v>
      </c>
      <c r="D97" s="78" t="s">
        <v>226</v>
      </c>
      <c r="E97" s="59" t="s">
        <v>233</v>
      </c>
      <c r="F97" s="48">
        <v>5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48">
        <v>5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77">
        <v>1</v>
      </c>
      <c r="AA97" s="25"/>
      <c r="AB97" s="25"/>
      <c r="AC97" s="25">
        <v>3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68"/>
      <c r="BA97" s="25"/>
      <c r="BB97" s="68">
        <v>1</v>
      </c>
      <c r="BC97" s="25"/>
      <c r="BD97" s="25"/>
      <c r="BE97" s="25"/>
      <c r="BF97" s="68"/>
      <c r="BG97" s="48">
        <v>3</v>
      </c>
      <c r="BH97" s="25"/>
      <c r="BI97" s="25"/>
      <c r="BJ97" s="25"/>
      <c r="BK97" s="25"/>
      <c r="BL97" s="25"/>
      <c r="BM97" s="25"/>
      <c r="BN97" s="48">
        <v>1</v>
      </c>
      <c r="BO97" s="25"/>
      <c r="BP97" s="63">
        <f t="shared" si="9"/>
        <v>4</v>
      </c>
      <c r="BQ97" s="63">
        <f t="shared" si="7"/>
        <v>1</v>
      </c>
      <c r="BR97" s="63">
        <f t="shared" si="8"/>
        <v>5</v>
      </c>
      <c r="BS97" s="79" t="s">
        <v>77</v>
      </c>
      <c r="BT97" s="79" t="s">
        <v>77</v>
      </c>
      <c r="BU97" s="72" t="s">
        <v>78</v>
      </c>
      <c r="BV97" s="80"/>
      <c r="BW97" s="25" t="s">
        <v>178</v>
      </c>
      <c r="BX97" s="25" t="s">
        <v>80</v>
      </c>
    </row>
    <row r="98" spans="1:76" ht="40.799999999999997" x14ac:dyDescent="0.3">
      <c r="A98" s="60">
        <v>97</v>
      </c>
      <c r="B98" s="60" t="s">
        <v>173</v>
      </c>
      <c r="C98" s="78" t="s">
        <v>24</v>
      </c>
      <c r="D98" s="78" t="s">
        <v>226</v>
      </c>
      <c r="E98" s="59" t="s">
        <v>234</v>
      </c>
      <c r="F98" s="48">
        <v>5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48">
        <v>5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77">
        <v>1</v>
      </c>
      <c r="AA98" s="25"/>
      <c r="AB98" s="25"/>
      <c r="AC98" s="25">
        <v>3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68"/>
      <c r="BA98" s="25"/>
      <c r="BB98" s="68">
        <v>1</v>
      </c>
      <c r="BC98" s="25"/>
      <c r="BD98" s="25"/>
      <c r="BE98" s="25"/>
      <c r="BF98" s="68"/>
      <c r="BG98" s="48">
        <v>3</v>
      </c>
      <c r="BH98" s="25"/>
      <c r="BI98" s="25"/>
      <c r="BJ98" s="25"/>
      <c r="BK98" s="25"/>
      <c r="BL98" s="25"/>
      <c r="BM98" s="25"/>
      <c r="BN98" s="48">
        <v>1</v>
      </c>
      <c r="BO98" s="25"/>
      <c r="BP98" s="63">
        <f t="shared" si="9"/>
        <v>4</v>
      </c>
      <c r="BQ98" s="63">
        <f t="shared" si="7"/>
        <v>1</v>
      </c>
      <c r="BR98" s="63">
        <f t="shared" si="8"/>
        <v>5</v>
      </c>
      <c r="BS98" s="79" t="s">
        <v>77</v>
      </c>
      <c r="BT98" s="79" t="s">
        <v>77</v>
      </c>
      <c r="BU98" s="72" t="s">
        <v>78</v>
      </c>
      <c r="BV98" s="80"/>
      <c r="BW98" s="25" t="s">
        <v>178</v>
      </c>
      <c r="BX98" s="25" t="s">
        <v>80</v>
      </c>
    </row>
    <row r="99" spans="1:76" ht="20.399999999999999" x14ac:dyDescent="0.3">
      <c r="A99" s="60">
        <v>98</v>
      </c>
      <c r="B99" s="60" t="s">
        <v>173</v>
      </c>
      <c r="C99" s="78" t="s">
        <v>24</v>
      </c>
      <c r="D99" s="78" t="s">
        <v>226</v>
      </c>
      <c r="E99" s="59" t="s">
        <v>235</v>
      </c>
      <c r="F99" s="48">
        <v>5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48">
        <v>5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77">
        <v>1</v>
      </c>
      <c r="AA99" s="25"/>
      <c r="AB99" s="25"/>
      <c r="AC99" s="25">
        <v>3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68"/>
      <c r="BA99" s="25"/>
      <c r="BB99" s="68">
        <v>1</v>
      </c>
      <c r="BC99" s="25"/>
      <c r="BD99" s="25"/>
      <c r="BE99" s="25"/>
      <c r="BF99" s="68"/>
      <c r="BG99" s="48">
        <v>3</v>
      </c>
      <c r="BH99" s="25"/>
      <c r="BI99" s="25"/>
      <c r="BJ99" s="25"/>
      <c r="BK99" s="25"/>
      <c r="BL99" s="25"/>
      <c r="BM99" s="25"/>
      <c r="BN99" s="48">
        <v>1</v>
      </c>
      <c r="BO99" s="25"/>
      <c r="BP99" s="63">
        <f t="shared" si="9"/>
        <v>4</v>
      </c>
      <c r="BQ99" s="63">
        <f t="shared" si="7"/>
        <v>1</v>
      </c>
      <c r="BR99" s="63">
        <f t="shared" si="8"/>
        <v>5</v>
      </c>
      <c r="BS99" s="79" t="s">
        <v>77</v>
      </c>
      <c r="BT99" s="79" t="s">
        <v>77</v>
      </c>
      <c r="BU99" s="72" t="s">
        <v>78</v>
      </c>
      <c r="BV99" s="80"/>
      <c r="BW99" s="25" t="s">
        <v>178</v>
      </c>
      <c r="BX99" s="25" t="s">
        <v>80</v>
      </c>
    </row>
    <row r="100" spans="1:76" ht="20.399999999999999" x14ac:dyDescent="0.3">
      <c r="A100" s="60">
        <v>99</v>
      </c>
      <c r="B100" s="60" t="s">
        <v>173</v>
      </c>
      <c r="C100" s="78" t="s">
        <v>24</v>
      </c>
      <c r="D100" s="78" t="s">
        <v>226</v>
      </c>
      <c r="E100" s="59" t="s">
        <v>236</v>
      </c>
      <c r="F100" s="48">
        <v>5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48">
        <v>5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84">
        <v>1</v>
      </c>
      <c r="AA100" s="25"/>
      <c r="AB100" s="25"/>
      <c r="AC100" s="25">
        <v>3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68"/>
      <c r="BA100" s="25"/>
      <c r="BB100" s="68">
        <v>1</v>
      </c>
      <c r="BC100" s="25"/>
      <c r="BD100" s="25"/>
      <c r="BE100" s="25"/>
      <c r="BF100" s="68"/>
      <c r="BG100" s="48">
        <v>3</v>
      </c>
      <c r="BH100" s="25"/>
      <c r="BI100" s="25"/>
      <c r="BJ100" s="25"/>
      <c r="BK100" s="25"/>
      <c r="BL100" s="25"/>
      <c r="BM100" s="25"/>
      <c r="BN100" s="48">
        <v>1</v>
      </c>
      <c r="BO100" s="25"/>
      <c r="BP100" s="63">
        <f t="shared" si="9"/>
        <v>4</v>
      </c>
      <c r="BQ100" s="63">
        <f t="shared" si="7"/>
        <v>1</v>
      </c>
      <c r="BR100" s="63">
        <f t="shared" si="8"/>
        <v>5</v>
      </c>
      <c r="BS100" s="79" t="s">
        <v>77</v>
      </c>
      <c r="BT100" s="79" t="s">
        <v>77</v>
      </c>
      <c r="BU100" s="72" t="s">
        <v>78</v>
      </c>
      <c r="BV100" s="80"/>
      <c r="BW100" s="25" t="s">
        <v>178</v>
      </c>
      <c r="BX100" s="25" t="s">
        <v>80</v>
      </c>
    </row>
    <row r="101" spans="1:76" ht="30.6" x14ac:dyDescent="0.3">
      <c r="A101" s="60">
        <v>100</v>
      </c>
      <c r="B101" s="60" t="s">
        <v>173</v>
      </c>
      <c r="C101" s="78" t="s">
        <v>24</v>
      </c>
      <c r="D101" s="78" t="s">
        <v>226</v>
      </c>
      <c r="E101" s="59" t="s">
        <v>237</v>
      </c>
      <c r="F101" s="48">
        <v>5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48">
        <v>5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84">
        <v>5</v>
      </c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68">
        <v>3</v>
      </c>
      <c r="BA101" s="25"/>
      <c r="BB101" s="25"/>
      <c r="BC101" s="25"/>
      <c r="BD101" s="25"/>
      <c r="BE101" s="25"/>
      <c r="BF101" s="68">
        <v>3</v>
      </c>
      <c r="BG101" s="48"/>
      <c r="BH101" s="25"/>
      <c r="BI101" s="61">
        <v>5</v>
      </c>
      <c r="BJ101" s="25"/>
      <c r="BK101" s="25"/>
      <c r="BL101" s="25"/>
      <c r="BM101" s="25"/>
      <c r="BN101" s="48">
        <v>1</v>
      </c>
      <c r="BO101" s="25"/>
      <c r="BP101" s="63">
        <f t="shared" si="9"/>
        <v>8</v>
      </c>
      <c r="BQ101" s="63">
        <f t="shared" si="7"/>
        <v>1</v>
      </c>
      <c r="BR101" s="63">
        <f t="shared" si="8"/>
        <v>9</v>
      </c>
      <c r="BS101" s="28" t="s">
        <v>78</v>
      </c>
      <c r="BT101" s="71" t="s">
        <v>78</v>
      </c>
      <c r="BU101" s="72" t="s">
        <v>78</v>
      </c>
      <c r="BV101" s="25" t="s">
        <v>106</v>
      </c>
      <c r="BW101" s="25" t="s">
        <v>178</v>
      </c>
      <c r="BX101" s="25"/>
    </row>
    <row r="102" spans="1:76" ht="30.6" x14ac:dyDescent="0.3">
      <c r="A102" s="60">
        <v>101</v>
      </c>
      <c r="B102" s="60" t="s">
        <v>173</v>
      </c>
      <c r="C102" s="78" t="s">
        <v>29</v>
      </c>
      <c r="D102" s="78" t="s">
        <v>226</v>
      </c>
      <c r="E102" s="59" t="s">
        <v>238</v>
      </c>
      <c r="F102" s="48">
        <v>5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48">
        <v>5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4"/>
      <c r="AE102" s="84">
        <v>5</v>
      </c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68">
        <v>3</v>
      </c>
      <c r="BA102" s="25"/>
      <c r="BB102" s="68"/>
      <c r="BC102" s="25"/>
      <c r="BD102" s="25"/>
      <c r="BE102" s="25"/>
      <c r="BF102" s="68">
        <v>3</v>
      </c>
      <c r="BG102" s="48"/>
      <c r="BH102" s="25"/>
      <c r="BI102" s="25">
        <v>5</v>
      </c>
      <c r="BJ102" s="25"/>
      <c r="BK102" s="25"/>
      <c r="BL102" s="25">
        <v>1</v>
      </c>
      <c r="BM102" s="25"/>
      <c r="BN102" s="48">
        <v>2</v>
      </c>
      <c r="BO102" s="25"/>
      <c r="BP102" s="63">
        <f t="shared" si="9"/>
        <v>8</v>
      </c>
      <c r="BQ102" s="63">
        <f t="shared" si="7"/>
        <v>3</v>
      </c>
      <c r="BR102" s="63">
        <f t="shared" si="8"/>
        <v>11</v>
      </c>
      <c r="BS102" s="28" t="s">
        <v>78</v>
      </c>
      <c r="BT102" s="71" t="s">
        <v>78</v>
      </c>
      <c r="BU102" s="72" t="s">
        <v>78</v>
      </c>
      <c r="BV102" s="25" t="s">
        <v>106</v>
      </c>
      <c r="BW102" s="25" t="s">
        <v>178</v>
      </c>
      <c r="BX102" s="25"/>
    </row>
    <row r="103" spans="1:76" ht="40.799999999999997" x14ac:dyDescent="0.3">
      <c r="A103" s="60">
        <v>102</v>
      </c>
      <c r="B103" s="60" t="s">
        <v>173</v>
      </c>
      <c r="C103" s="78" t="s">
        <v>26</v>
      </c>
      <c r="D103" s="78" t="s">
        <v>226</v>
      </c>
      <c r="E103" s="59" t="s">
        <v>239</v>
      </c>
      <c r="F103" s="48">
        <v>5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48">
        <v>5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84">
        <v>1</v>
      </c>
      <c r="AC103" s="25"/>
      <c r="AD103" s="25"/>
      <c r="AE103" s="25"/>
      <c r="AF103" s="25"/>
      <c r="AG103" s="25"/>
      <c r="AH103" s="25">
        <v>3</v>
      </c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68"/>
      <c r="BA103" s="25"/>
      <c r="BB103" s="68">
        <v>1</v>
      </c>
      <c r="BC103" s="25"/>
      <c r="BD103" s="25"/>
      <c r="BE103" s="25"/>
      <c r="BF103" s="68"/>
      <c r="BG103" s="48">
        <v>3</v>
      </c>
      <c r="BH103" s="25"/>
      <c r="BI103" s="25"/>
      <c r="BJ103" s="25"/>
      <c r="BK103" s="25"/>
      <c r="BL103" s="25"/>
      <c r="BM103" s="25"/>
      <c r="BN103" s="48">
        <v>1</v>
      </c>
      <c r="BO103" s="25"/>
      <c r="BP103" s="63">
        <f t="shared" si="9"/>
        <v>4</v>
      </c>
      <c r="BQ103" s="63">
        <f t="shared" si="7"/>
        <v>1</v>
      </c>
      <c r="BR103" s="63">
        <f t="shared" si="8"/>
        <v>5</v>
      </c>
      <c r="BS103" s="79" t="s">
        <v>77</v>
      </c>
      <c r="BT103" s="79" t="s">
        <v>77</v>
      </c>
      <c r="BU103" s="72" t="s">
        <v>78</v>
      </c>
      <c r="BV103" s="80"/>
      <c r="BW103" s="25" t="s">
        <v>178</v>
      </c>
      <c r="BX103" s="25" t="s">
        <v>80</v>
      </c>
    </row>
    <row r="104" spans="1:76" ht="40.799999999999997" x14ac:dyDescent="0.3">
      <c r="A104" s="60">
        <v>103</v>
      </c>
      <c r="B104" s="60" t="s">
        <v>173</v>
      </c>
      <c r="C104" s="78" t="s">
        <v>26</v>
      </c>
      <c r="D104" s="78" t="s">
        <v>226</v>
      </c>
      <c r="E104" s="59" t="s">
        <v>240</v>
      </c>
      <c r="F104" s="48">
        <v>5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48">
        <v>5</v>
      </c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84">
        <v>1</v>
      </c>
      <c r="AC104" s="25"/>
      <c r="AD104" s="25"/>
      <c r="AE104" s="25"/>
      <c r="AF104" s="25"/>
      <c r="AG104" s="25"/>
      <c r="AH104" s="25">
        <v>3</v>
      </c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68"/>
      <c r="BA104" s="25"/>
      <c r="BB104" s="68">
        <v>1</v>
      </c>
      <c r="BC104" s="25"/>
      <c r="BD104" s="25"/>
      <c r="BE104" s="25"/>
      <c r="BF104" s="68"/>
      <c r="BG104" s="48">
        <v>3</v>
      </c>
      <c r="BH104" s="25"/>
      <c r="BI104" s="25"/>
      <c r="BJ104" s="25"/>
      <c r="BK104" s="25"/>
      <c r="BL104" s="25"/>
      <c r="BM104" s="25"/>
      <c r="BN104" s="48">
        <v>1</v>
      </c>
      <c r="BO104" s="25"/>
      <c r="BP104" s="63">
        <f t="shared" si="9"/>
        <v>4</v>
      </c>
      <c r="BQ104" s="63">
        <f t="shared" si="7"/>
        <v>1</v>
      </c>
      <c r="BR104" s="63">
        <f t="shared" si="8"/>
        <v>5</v>
      </c>
      <c r="BS104" s="79" t="s">
        <v>77</v>
      </c>
      <c r="BT104" s="79" t="s">
        <v>77</v>
      </c>
      <c r="BU104" s="72" t="s">
        <v>78</v>
      </c>
      <c r="BV104" s="80"/>
      <c r="BW104" s="25" t="s">
        <v>178</v>
      </c>
      <c r="BX104" s="25" t="s">
        <v>80</v>
      </c>
    </row>
    <row r="105" spans="1:76" ht="30.6" x14ac:dyDescent="0.3">
      <c r="A105" s="60">
        <v>104</v>
      </c>
      <c r="B105" s="60" t="s">
        <v>173</v>
      </c>
      <c r="C105" s="78" t="s">
        <v>30</v>
      </c>
      <c r="D105" s="78" t="s">
        <v>226</v>
      </c>
      <c r="E105" s="59" t="s">
        <v>241</v>
      </c>
      <c r="F105" s="48">
        <v>5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48">
        <v>5</v>
      </c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84">
        <v>5</v>
      </c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68">
        <v>3</v>
      </c>
      <c r="BA105" s="25"/>
      <c r="BB105" s="25"/>
      <c r="BC105" s="25"/>
      <c r="BD105" s="25"/>
      <c r="BE105" s="25"/>
      <c r="BF105" s="68">
        <v>3</v>
      </c>
      <c r="BG105" s="48"/>
      <c r="BH105" s="25"/>
      <c r="BI105" s="61">
        <v>5</v>
      </c>
      <c r="BJ105" s="25"/>
      <c r="BK105" s="25"/>
      <c r="BL105" s="25"/>
      <c r="BM105" s="25"/>
      <c r="BN105" s="48">
        <v>1</v>
      </c>
      <c r="BO105" s="25"/>
      <c r="BP105" s="63">
        <f t="shared" si="9"/>
        <v>8</v>
      </c>
      <c r="BQ105" s="63">
        <f t="shared" si="7"/>
        <v>1</v>
      </c>
      <c r="BR105" s="63">
        <f t="shared" si="8"/>
        <v>9</v>
      </c>
      <c r="BS105" s="28" t="s">
        <v>78</v>
      </c>
      <c r="BT105" s="71" t="s">
        <v>78</v>
      </c>
      <c r="BU105" s="72" t="s">
        <v>78</v>
      </c>
      <c r="BV105" s="25" t="s">
        <v>106</v>
      </c>
      <c r="BW105" s="25" t="s">
        <v>178</v>
      </c>
      <c r="BX105" s="25"/>
    </row>
    <row r="106" spans="1:76" ht="30.6" x14ac:dyDescent="0.3">
      <c r="A106" s="60">
        <v>105</v>
      </c>
      <c r="B106" s="60" t="s">
        <v>173</v>
      </c>
      <c r="C106" s="78" t="s">
        <v>30</v>
      </c>
      <c r="D106" s="78" t="s">
        <v>226</v>
      </c>
      <c r="E106" s="59" t="s">
        <v>242</v>
      </c>
      <c r="F106" s="48">
        <v>5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48">
        <v>5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84">
        <v>5</v>
      </c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68">
        <v>3</v>
      </c>
      <c r="BA106" s="25"/>
      <c r="BB106" s="25"/>
      <c r="BC106" s="25"/>
      <c r="BD106" s="25"/>
      <c r="BE106" s="25"/>
      <c r="BF106" s="68">
        <v>3</v>
      </c>
      <c r="BG106" s="48"/>
      <c r="BH106" s="25"/>
      <c r="BI106" s="61">
        <v>5</v>
      </c>
      <c r="BJ106" s="25"/>
      <c r="BK106" s="25"/>
      <c r="BL106" s="25"/>
      <c r="BM106" s="25"/>
      <c r="BN106" s="48">
        <v>1</v>
      </c>
      <c r="BO106" s="25"/>
      <c r="BP106" s="63">
        <f t="shared" si="9"/>
        <v>8</v>
      </c>
      <c r="BQ106" s="63">
        <f t="shared" si="7"/>
        <v>1</v>
      </c>
      <c r="BR106" s="63">
        <f t="shared" si="8"/>
        <v>9</v>
      </c>
      <c r="BS106" s="28" t="s">
        <v>78</v>
      </c>
      <c r="BT106" s="71" t="s">
        <v>78</v>
      </c>
      <c r="BU106" s="72" t="s">
        <v>78</v>
      </c>
      <c r="BV106" s="25" t="s">
        <v>106</v>
      </c>
      <c r="BW106" s="25" t="s">
        <v>178</v>
      </c>
      <c r="BX106" s="25"/>
    </row>
    <row r="107" spans="1:76" ht="42" x14ac:dyDescent="0.3">
      <c r="A107" s="60">
        <v>106</v>
      </c>
      <c r="B107" s="60" t="s">
        <v>173</v>
      </c>
      <c r="C107" s="78" t="s">
        <v>29</v>
      </c>
      <c r="D107" s="78" t="s">
        <v>226</v>
      </c>
      <c r="E107" s="81" t="s">
        <v>243</v>
      </c>
      <c r="F107" s="48">
        <v>5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48">
        <v>5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84">
        <v>3</v>
      </c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68"/>
      <c r="BA107" s="25"/>
      <c r="BB107" s="68"/>
      <c r="BC107" s="25"/>
      <c r="BD107" s="25"/>
      <c r="BE107" s="25"/>
      <c r="BF107" s="68"/>
      <c r="BG107" s="48"/>
      <c r="BH107" s="48">
        <v>3</v>
      </c>
      <c r="BI107" s="25"/>
      <c r="BJ107" s="25"/>
      <c r="BK107" s="25"/>
      <c r="BL107" s="25"/>
      <c r="BM107" s="25"/>
      <c r="BN107" s="48">
        <v>1</v>
      </c>
      <c r="BO107" s="25"/>
      <c r="BP107" s="63">
        <f t="shared" si="9"/>
        <v>3</v>
      </c>
      <c r="BQ107" s="63">
        <f t="shared" si="7"/>
        <v>1</v>
      </c>
      <c r="BR107" s="63">
        <f t="shared" si="8"/>
        <v>4</v>
      </c>
      <c r="BS107" s="79" t="s">
        <v>77</v>
      </c>
      <c r="BT107" s="79" t="s">
        <v>77</v>
      </c>
      <c r="BU107" s="79" t="s">
        <v>77</v>
      </c>
      <c r="BV107" s="24" t="s">
        <v>228</v>
      </c>
      <c r="BW107" s="25" t="s">
        <v>178</v>
      </c>
      <c r="BX107" s="25" t="s">
        <v>176</v>
      </c>
    </row>
    <row r="108" spans="1:76" ht="42" x14ac:dyDescent="0.3">
      <c r="A108" s="60">
        <v>107</v>
      </c>
      <c r="B108" s="60" t="s">
        <v>173</v>
      </c>
      <c r="C108" s="78" t="s">
        <v>29</v>
      </c>
      <c r="D108" s="78" t="s">
        <v>226</v>
      </c>
      <c r="E108" s="81" t="s">
        <v>244</v>
      </c>
      <c r="F108" s="48">
        <v>5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48">
        <v>5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84">
        <v>3</v>
      </c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68"/>
      <c r="BA108" s="25"/>
      <c r="BB108" s="68"/>
      <c r="BC108" s="25"/>
      <c r="BD108" s="25"/>
      <c r="BE108" s="25"/>
      <c r="BF108" s="68"/>
      <c r="BG108" s="48"/>
      <c r="BH108" s="48">
        <v>3</v>
      </c>
      <c r="BI108" s="25"/>
      <c r="BJ108" s="25"/>
      <c r="BK108" s="25"/>
      <c r="BL108" s="25"/>
      <c r="BM108" s="25"/>
      <c r="BN108" s="48">
        <v>1</v>
      </c>
      <c r="BO108" s="25"/>
      <c r="BP108" s="63">
        <f t="shared" si="9"/>
        <v>3</v>
      </c>
      <c r="BQ108" s="63">
        <f t="shared" si="7"/>
        <v>1</v>
      </c>
      <c r="BR108" s="63">
        <f t="shared" si="8"/>
        <v>4</v>
      </c>
      <c r="BS108" s="79" t="s">
        <v>77</v>
      </c>
      <c r="BT108" s="79" t="s">
        <v>77</v>
      </c>
      <c r="BU108" s="79" t="s">
        <v>77</v>
      </c>
      <c r="BV108" s="24" t="s">
        <v>228</v>
      </c>
      <c r="BW108" s="25" t="s">
        <v>178</v>
      </c>
      <c r="BX108" s="25" t="s">
        <v>176</v>
      </c>
    </row>
    <row r="109" spans="1:76" ht="42" x14ac:dyDescent="0.3">
      <c r="A109" s="60">
        <v>108</v>
      </c>
      <c r="B109" s="60" t="s">
        <v>173</v>
      </c>
      <c r="C109" s="78" t="s">
        <v>30</v>
      </c>
      <c r="D109" s="78" t="s">
        <v>226</v>
      </c>
      <c r="E109" s="81" t="s">
        <v>245</v>
      </c>
      <c r="F109" s="68">
        <v>5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8">
        <v>5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84">
        <v>3</v>
      </c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68"/>
      <c r="BA109" s="25"/>
      <c r="BB109" s="68"/>
      <c r="BC109" s="25"/>
      <c r="BD109" s="25"/>
      <c r="BE109" s="25"/>
      <c r="BF109" s="68"/>
      <c r="BG109" s="48"/>
      <c r="BH109" s="48">
        <v>3</v>
      </c>
      <c r="BI109" s="25"/>
      <c r="BJ109" s="25"/>
      <c r="BK109" s="25"/>
      <c r="BL109" s="25"/>
      <c r="BM109" s="25"/>
      <c r="BN109" s="48">
        <v>1</v>
      </c>
      <c r="BO109" s="25"/>
      <c r="BP109" s="63">
        <f t="shared" si="9"/>
        <v>3</v>
      </c>
      <c r="BQ109" s="63">
        <f t="shared" si="7"/>
        <v>1</v>
      </c>
      <c r="BR109" s="63">
        <f t="shared" si="8"/>
        <v>4</v>
      </c>
      <c r="BS109" s="79" t="s">
        <v>77</v>
      </c>
      <c r="BT109" s="79" t="s">
        <v>77</v>
      </c>
      <c r="BU109" s="79" t="s">
        <v>77</v>
      </c>
      <c r="BV109" s="24" t="s">
        <v>228</v>
      </c>
      <c r="BW109" s="25" t="s">
        <v>178</v>
      </c>
      <c r="BX109" s="25" t="s">
        <v>176</v>
      </c>
    </row>
    <row r="110" spans="1:76" ht="42" x14ac:dyDescent="0.3">
      <c r="A110" s="60">
        <v>109</v>
      </c>
      <c r="B110" s="60" t="s">
        <v>173</v>
      </c>
      <c r="C110" s="78" t="s">
        <v>30</v>
      </c>
      <c r="D110" s="78" t="s">
        <v>226</v>
      </c>
      <c r="E110" s="81" t="s">
        <v>246</v>
      </c>
      <c r="F110" s="68">
        <v>5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8">
        <v>5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84">
        <v>3</v>
      </c>
      <c r="AG110" s="25"/>
      <c r="AH110" s="25"/>
      <c r="AI110" s="25"/>
      <c r="AJ110" s="25"/>
      <c r="AK110" s="25"/>
      <c r="AL110" s="25"/>
      <c r="AM110" s="25"/>
      <c r="AN110" s="25"/>
      <c r="AO110" s="25"/>
      <c r="AP110" s="20"/>
      <c r="AQ110" s="25"/>
      <c r="AR110" s="25"/>
      <c r="AS110" s="25"/>
      <c r="AT110" s="25"/>
      <c r="AU110" s="25"/>
      <c r="AV110" s="25"/>
      <c r="AW110" s="25"/>
      <c r="AX110" s="25"/>
      <c r="AY110" s="25"/>
      <c r="AZ110" s="68"/>
      <c r="BA110" s="25"/>
      <c r="BB110" s="68"/>
      <c r="BC110" s="25"/>
      <c r="BD110" s="25"/>
      <c r="BE110" s="25"/>
      <c r="BF110" s="68"/>
      <c r="BG110" s="48"/>
      <c r="BH110" s="48">
        <v>3</v>
      </c>
      <c r="BI110" s="25"/>
      <c r="BJ110" s="25"/>
      <c r="BK110" s="25"/>
      <c r="BL110" s="25"/>
      <c r="BM110" s="25"/>
      <c r="BN110" s="48">
        <v>1</v>
      </c>
      <c r="BO110" s="25"/>
      <c r="BP110" s="63">
        <f t="shared" si="9"/>
        <v>3</v>
      </c>
      <c r="BQ110" s="63">
        <f t="shared" si="7"/>
        <v>1</v>
      </c>
      <c r="BR110" s="63">
        <f t="shared" si="8"/>
        <v>4</v>
      </c>
      <c r="BS110" s="79" t="s">
        <v>77</v>
      </c>
      <c r="BT110" s="79" t="s">
        <v>77</v>
      </c>
      <c r="BU110" s="79" t="s">
        <v>77</v>
      </c>
      <c r="BV110" s="24" t="s">
        <v>228</v>
      </c>
      <c r="BW110" s="25" t="s">
        <v>178</v>
      </c>
      <c r="BX110" s="25" t="s">
        <v>176</v>
      </c>
    </row>
    <row r="111" spans="1:76" ht="30.6" x14ac:dyDescent="0.3">
      <c r="A111" s="60">
        <v>110</v>
      </c>
      <c r="B111" s="60" t="s">
        <v>173</v>
      </c>
      <c r="C111" s="78" t="s">
        <v>30</v>
      </c>
      <c r="D111" s="78" t="s">
        <v>226</v>
      </c>
      <c r="E111" s="59" t="s">
        <v>247</v>
      </c>
      <c r="F111" s="48">
        <v>5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48">
        <v>5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84">
        <v>1</v>
      </c>
      <c r="AG111" s="25"/>
      <c r="AH111" s="25">
        <v>3</v>
      </c>
      <c r="AI111" s="25"/>
      <c r="AJ111" s="25"/>
      <c r="AK111" s="25"/>
      <c r="AL111" s="25"/>
      <c r="AM111" s="25"/>
      <c r="AN111" s="25"/>
      <c r="AO111" s="25"/>
      <c r="AP111" s="25"/>
      <c r="AQ111" s="4"/>
      <c r="AR111" s="25"/>
      <c r="AS111" s="25"/>
      <c r="AT111" s="25"/>
      <c r="AU111" s="25"/>
      <c r="AV111" s="25"/>
      <c r="AW111" s="25"/>
      <c r="AX111" s="25"/>
      <c r="AY111" s="25"/>
      <c r="AZ111" s="68"/>
      <c r="BA111" s="25"/>
      <c r="BB111" s="68">
        <v>1</v>
      </c>
      <c r="BC111" s="25"/>
      <c r="BD111" s="25"/>
      <c r="BE111" s="25"/>
      <c r="BF111" s="68"/>
      <c r="BG111" s="48">
        <v>3</v>
      </c>
      <c r="BH111" s="25"/>
      <c r="BI111" s="25"/>
      <c r="BJ111" s="25"/>
      <c r="BK111" s="25"/>
      <c r="BL111" s="25"/>
      <c r="BM111" s="25"/>
      <c r="BN111" s="48">
        <v>1</v>
      </c>
      <c r="BO111" s="25"/>
      <c r="BP111" s="63">
        <f t="shared" si="9"/>
        <v>4</v>
      </c>
      <c r="BQ111" s="63">
        <f t="shared" si="7"/>
        <v>1</v>
      </c>
      <c r="BR111" s="63">
        <f t="shared" si="8"/>
        <v>5</v>
      </c>
      <c r="BS111" s="79" t="s">
        <v>77</v>
      </c>
      <c r="BT111" s="79" t="s">
        <v>77</v>
      </c>
      <c r="BU111" s="72" t="s">
        <v>78</v>
      </c>
      <c r="BV111" s="80"/>
      <c r="BW111" s="25" t="s">
        <v>178</v>
      </c>
      <c r="BX111" s="25" t="s">
        <v>80</v>
      </c>
    </row>
    <row r="112" spans="1:76" ht="30.6" x14ac:dyDescent="0.3">
      <c r="A112" s="60">
        <v>111</v>
      </c>
      <c r="B112" s="60" t="s">
        <v>173</v>
      </c>
      <c r="C112" s="78" t="s">
        <v>30</v>
      </c>
      <c r="D112" s="78" t="s">
        <v>226</v>
      </c>
      <c r="E112" s="59" t="s">
        <v>248</v>
      </c>
      <c r="F112" s="48">
        <v>5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48">
        <v>5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84">
        <v>1</v>
      </c>
      <c r="AG112" s="25"/>
      <c r="AH112" s="25">
        <v>3</v>
      </c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68"/>
      <c r="BA112" s="25"/>
      <c r="BB112" s="68">
        <v>1</v>
      </c>
      <c r="BC112" s="25"/>
      <c r="BD112" s="25"/>
      <c r="BE112" s="25"/>
      <c r="BF112" s="68"/>
      <c r="BG112" s="48">
        <v>3</v>
      </c>
      <c r="BH112" s="25"/>
      <c r="BI112" s="25"/>
      <c r="BJ112" s="25"/>
      <c r="BK112" s="25"/>
      <c r="BL112" s="25"/>
      <c r="BM112" s="25"/>
      <c r="BN112" s="48">
        <v>1</v>
      </c>
      <c r="BO112" s="25"/>
      <c r="BP112" s="63">
        <f t="shared" si="9"/>
        <v>4</v>
      </c>
      <c r="BQ112" s="63">
        <f t="shared" si="7"/>
        <v>1</v>
      </c>
      <c r="BR112" s="63">
        <f t="shared" si="8"/>
        <v>5</v>
      </c>
      <c r="BS112" s="79" t="s">
        <v>77</v>
      </c>
      <c r="BT112" s="79" t="s">
        <v>77</v>
      </c>
      <c r="BU112" s="72" t="s">
        <v>78</v>
      </c>
      <c r="BV112" s="80"/>
      <c r="BW112" s="25" t="s">
        <v>178</v>
      </c>
      <c r="BX112" s="25" t="s">
        <v>80</v>
      </c>
    </row>
    <row r="113" spans="1:76" ht="40.799999999999997" x14ac:dyDescent="0.3">
      <c r="A113" s="60">
        <v>112</v>
      </c>
      <c r="B113" s="60" t="s">
        <v>173</v>
      </c>
      <c r="C113" s="78" t="s">
        <v>29</v>
      </c>
      <c r="D113" s="78" t="s">
        <v>226</v>
      </c>
      <c r="E113" s="59" t="s">
        <v>249</v>
      </c>
      <c r="F113" s="48">
        <v>5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48">
        <v>5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84">
        <v>1</v>
      </c>
      <c r="AF113" s="25">
        <v>3</v>
      </c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68"/>
      <c r="BA113" s="25"/>
      <c r="BB113" s="68">
        <v>1</v>
      </c>
      <c r="BC113" s="25"/>
      <c r="BD113" s="25"/>
      <c r="BE113" s="25"/>
      <c r="BF113" s="68"/>
      <c r="BG113" s="48"/>
      <c r="BH113" s="25">
        <v>3</v>
      </c>
      <c r="BI113" s="25"/>
      <c r="BJ113" s="25"/>
      <c r="BK113" s="25"/>
      <c r="BL113" s="25"/>
      <c r="BM113" s="25"/>
      <c r="BN113" s="48">
        <v>1</v>
      </c>
      <c r="BO113" s="25"/>
      <c r="BP113" s="63">
        <f t="shared" si="9"/>
        <v>4</v>
      </c>
      <c r="BQ113" s="63">
        <f t="shared" si="7"/>
        <v>1</v>
      </c>
      <c r="BR113" s="63">
        <f t="shared" si="8"/>
        <v>5</v>
      </c>
      <c r="BS113" s="79" t="s">
        <v>77</v>
      </c>
      <c r="BT113" s="79" t="s">
        <v>77</v>
      </c>
      <c r="BU113" s="72" t="s">
        <v>78</v>
      </c>
      <c r="BV113" s="25"/>
      <c r="BW113" s="25" t="s">
        <v>79</v>
      </c>
      <c r="BX113" s="25" t="s">
        <v>176</v>
      </c>
    </row>
    <row r="114" spans="1:76" ht="30.6" x14ac:dyDescent="0.3">
      <c r="A114" s="60">
        <v>113</v>
      </c>
      <c r="B114" s="60" t="s">
        <v>173</v>
      </c>
      <c r="C114" s="78" t="s">
        <v>26</v>
      </c>
      <c r="D114" s="78" t="s">
        <v>226</v>
      </c>
      <c r="E114" s="59" t="s">
        <v>250</v>
      </c>
      <c r="F114" s="48">
        <v>5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48">
        <v>5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84">
        <v>5</v>
      </c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68">
        <v>3</v>
      </c>
      <c r="BA114" s="25"/>
      <c r="BB114" s="25"/>
      <c r="BC114" s="25"/>
      <c r="BD114" s="25"/>
      <c r="BE114" s="25"/>
      <c r="BF114" s="68">
        <v>3</v>
      </c>
      <c r="BG114" s="48"/>
      <c r="BH114" s="25"/>
      <c r="BI114" s="61">
        <v>5</v>
      </c>
      <c r="BJ114" s="25"/>
      <c r="BK114" s="25"/>
      <c r="BL114" s="25"/>
      <c r="BM114" s="25"/>
      <c r="BN114" s="48">
        <v>1</v>
      </c>
      <c r="BO114" s="25"/>
      <c r="BP114" s="63">
        <f t="shared" si="9"/>
        <v>8</v>
      </c>
      <c r="BQ114" s="63">
        <f t="shared" si="7"/>
        <v>1</v>
      </c>
      <c r="BR114" s="63">
        <f t="shared" si="8"/>
        <v>9</v>
      </c>
      <c r="BS114" s="28" t="s">
        <v>78</v>
      </c>
      <c r="BT114" s="71" t="s">
        <v>78</v>
      </c>
      <c r="BU114" s="72" t="s">
        <v>78</v>
      </c>
      <c r="BV114" s="25" t="s">
        <v>106</v>
      </c>
      <c r="BW114" s="25" t="s">
        <v>178</v>
      </c>
      <c r="BX114" s="25"/>
    </row>
    <row r="115" spans="1:76" ht="40.799999999999997" x14ac:dyDescent="0.3">
      <c r="A115" s="60">
        <v>114</v>
      </c>
      <c r="B115" s="60" t="s">
        <v>173</v>
      </c>
      <c r="C115" s="78" t="s">
        <v>26</v>
      </c>
      <c r="D115" s="78" t="s">
        <v>226</v>
      </c>
      <c r="E115" s="59" t="s">
        <v>251</v>
      </c>
      <c r="F115" s="48">
        <v>5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48">
        <v>5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84">
        <v>5</v>
      </c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68">
        <v>3</v>
      </c>
      <c r="BA115" s="25"/>
      <c r="BB115" s="25"/>
      <c r="BC115" s="25"/>
      <c r="BD115" s="25"/>
      <c r="BE115" s="25"/>
      <c r="BF115" s="68">
        <v>3</v>
      </c>
      <c r="BG115" s="48"/>
      <c r="BH115" s="25"/>
      <c r="BI115" s="61">
        <v>5</v>
      </c>
      <c r="BJ115" s="25"/>
      <c r="BK115" s="25"/>
      <c r="BL115" s="25"/>
      <c r="BM115" s="25"/>
      <c r="BN115" s="48">
        <v>1</v>
      </c>
      <c r="BO115" s="25"/>
      <c r="BP115" s="63">
        <f t="shared" si="9"/>
        <v>8</v>
      </c>
      <c r="BQ115" s="63">
        <f t="shared" si="7"/>
        <v>1</v>
      </c>
      <c r="BR115" s="63">
        <f t="shared" si="8"/>
        <v>9</v>
      </c>
      <c r="BS115" s="28" t="s">
        <v>78</v>
      </c>
      <c r="BT115" s="71" t="s">
        <v>78</v>
      </c>
      <c r="BU115" s="72" t="s">
        <v>78</v>
      </c>
      <c r="BV115" s="25" t="s">
        <v>106</v>
      </c>
      <c r="BW115" s="25" t="s">
        <v>178</v>
      </c>
      <c r="BX115" s="25"/>
    </row>
    <row r="116" spans="1:76" ht="30.6" x14ac:dyDescent="0.3">
      <c r="A116" s="60">
        <v>115</v>
      </c>
      <c r="B116" s="60" t="s">
        <v>173</v>
      </c>
      <c r="C116" s="78" t="s">
        <v>26</v>
      </c>
      <c r="D116" s="78" t="s">
        <v>226</v>
      </c>
      <c r="E116" s="59" t="s">
        <v>252</v>
      </c>
      <c r="F116" s="48">
        <v>5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48">
        <v>5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84">
        <v>5</v>
      </c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68">
        <v>3</v>
      </c>
      <c r="BA116" s="25"/>
      <c r="BB116" s="25"/>
      <c r="BC116" s="25"/>
      <c r="BD116" s="25"/>
      <c r="BE116" s="25"/>
      <c r="BF116" s="68">
        <v>3</v>
      </c>
      <c r="BG116" s="48"/>
      <c r="BH116" s="25"/>
      <c r="BI116" s="61">
        <v>5</v>
      </c>
      <c r="BJ116" s="25"/>
      <c r="BK116" s="25"/>
      <c r="BL116" s="25"/>
      <c r="BM116" s="25"/>
      <c r="BN116" s="48">
        <v>1</v>
      </c>
      <c r="BO116" s="25"/>
      <c r="BP116" s="63">
        <f t="shared" si="9"/>
        <v>8</v>
      </c>
      <c r="BQ116" s="63">
        <f t="shared" si="7"/>
        <v>1</v>
      </c>
      <c r="BR116" s="63">
        <f t="shared" si="8"/>
        <v>9</v>
      </c>
      <c r="BS116" s="28" t="s">
        <v>78</v>
      </c>
      <c r="BT116" s="71" t="s">
        <v>78</v>
      </c>
      <c r="BU116" s="72" t="s">
        <v>78</v>
      </c>
      <c r="BV116" s="25" t="s">
        <v>106</v>
      </c>
      <c r="BW116" s="25" t="s">
        <v>178</v>
      </c>
      <c r="BX116" s="25"/>
    </row>
    <row r="117" spans="1:76" ht="40.799999999999997" x14ac:dyDescent="0.3">
      <c r="A117" s="60">
        <v>116</v>
      </c>
      <c r="B117" s="60" t="s">
        <v>173</v>
      </c>
      <c r="C117" s="78" t="s">
        <v>26</v>
      </c>
      <c r="D117" s="78" t="s">
        <v>226</v>
      </c>
      <c r="E117" s="59" t="s">
        <v>253</v>
      </c>
      <c r="F117" s="48">
        <v>5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48">
        <v>5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84">
        <v>5</v>
      </c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68">
        <v>3</v>
      </c>
      <c r="BA117" s="25"/>
      <c r="BB117" s="25"/>
      <c r="BC117" s="25"/>
      <c r="BD117" s="25"/>
      <c r="BE117" s="25"/>
      <c r="BF117" s="68">
        <v>3</v>
      </c>
      <c r="BG117" s="48"/>
      <c r="BH117" s="25"/>
      <c r="BI117" s="61">
        <v>5</v>
      </c>
      <c r="BJ117" s="25"/>
      <c r="BK117" s="25"/>
      <c r="BL117" s="25"/>
      <c r="BM117" s="25"/>
      <c r="BN117" s="48">
        <v>1</v>
      </c>
      <c r="BO117" s="25"/>
      <c r="BP117" s="63">
        <f t="shared" si="9"/>
        <v>8</v>
      </c>
      <c r="BQ117" s="63">
        <f t="shared" si="7"/>
        <v>1</v>
      </c>
      <c r="BR117" s="63">
        <f t="shared" si="8"/>
        <v>9</v>
      </c>
      <c r="BS117" s="28" t="s">
        <v>78</v>
      </c>
      <c r="BT117" s="71" t="s">
        <v>78</v>
      </c>
      <c r="BU117" s="72" t="s">
        <v>78</v>
      </c>
      <c r="BV117" s="25" t="s">
        <v>106</v>
      </c>
      <c r="BW117" s="25" t="s">
        <v>178</v>
      </c>
      <c r="BX117" s="25"/>
    </row>
    <row r="118" spans="1:76" ht="40.799999999999997" x14ac:dyDescent="0.3">
      <c r="A118" s="60">
        <v>117</v>
      </c>
      <c r="B118" s="60" t="s">
        <v>173</v>
      </c>
      <c r="C118" s="78" t="s">
        <v>26</v>
      </c>
      <c r="D118" s="78" t="s">
        <v>226</v>
      </c>
      <c r="E118" s="59" t="s">
        <v>254</v>
      </c>
      <c r="F118" s="48">
        <v>5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48">
        <v>5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84">
        <v>5</v>
      </c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68">
        <v>3</v>
      </c>
      <c r="BA118" s="25"/>
      <c r="BB118" s="25"/>
      <c r="BC118" s="25"/>
      <c r="BD118" s="25"/>
      <c r="BE118" s="25"/>
      <c r="BF118" s="68">
        <v>3</v>
      </c>
      <c r="BG118" s="48"/>
      <c r="BH118" s="25"/>
      <c r="BI118" s="61">
        <v>5</v>
      </c>
      <c r="BJ118" s="25"/>
      <c r="BK118" s="25"/>
      <c r="BL118" s="25"/>
      <c r="BM118" s="25"/>
      <c r="BN118" s="48">
        <v>1</v>
      </c>
      <c r="BO118" s="25"/>
      <c r="BP118" s="63">
        <f t="shared" si="9"/>
        <v>8</v>
      </c>
      <c r="BQ118" s="63">
        <f t="shared" si="7"/>
        <v>1</v>
      </c>
      <c r="BR118" s="63">
        <f t="shared" si="8"/>
        <v>9</v>
      </c>
      <c r="BS118" s="28" t="s">
        <v>78</v>
      </c>
      <c r="BT118" s="71" t="s">
        <v>78</v>
      </c>
      <c r="BU118" s="72" t="s">
        <v>78</v>
      </c>
      <c r="BV118" s="25" t="s">
        <v>106</v>
      </c>
      <c r="BW118" s="25" t="s">
        <v>178</v>
      </c>
      <c r="BX118" s="25"/>
    </row>
    <row r="119" spans="1:76" ht="40.799999999999997" x14ac:dyDescent="0.3">
      <c r="A119" s="60">
        <v>118</v>
      </c>
      <c r="B119" s="60" t="s">
        <v>173</v>
      </c>
      <c r="C119" s="78" t="s">
        <v>26</v>
      </c>
      <c r="D119" s="78" t="s">
        <v>226</v>
      </c>
      <c r="E119" s="59" t="s">
        <v>255</v>
      </c>
      <c r="F119" s="48">
        <v>5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48">
        <v>5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84">
        <v>1</v>
      </c>
      <c r="AC119" s="25"/>
      <c r="AD119" s="25"/>
      <c r="AE119" s="25"/>
      <c r="AF119" s="25"/>
      <c r="AG119" s="25"/>
      <c r="AH119" s="25">
        <v>3</v>
      </c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68"/>
      <c r="BA119" s="25"/>
      <c r="BB119" s="68">
        <v>1</v>
      </c>
      <c r="BC119" s="25"/>
      <c r="BD119" s="25"/>
      <c r="BE119" s="25"/>
      <c r="BF119" s="68"/>
      <c r="BG119" s="48">
        <v>3</v>
      </c>
      <c r="BH119" s="25"/>
      <c r="BI119" s="25"/>
      <c r="BJ119" s="25"/>
      <c r="BK119" s="25"/>
      <c r="BL119" s="25"/>
      <c r="BM119" s="25"/>
      <c r="BN119" s="48">
        <v>1</v>
      </c>
      <c r="BO119" s="25"/>
      <c r="BP119" s="63">
        <f t="shared" si="9"/>
        <v>4</v>
      </c>
      <c r="BQ119" s="63">
        <f t="shared" si="7"/>
        <v>1</v>
      </c>
      <c r="BR119" s="63">
        <f t="shared" si="8"/>
        <v>5</v>
      </c>
      <c r="BS119" s="79" t="s">
        <v>77</v>
      </c>
      <c r="BT119" s="79" t="s">
        <v>77</v>
      </c>
      <c r="BU119" s="72" t="s">
        <v>78</v>
      </c>
      <c r="BV119" s="80"/>
      <c r="BW119" s="25" t="s">
        <v>178</v>
      </c>
      <c r="BX119" s="25" t="s">
        <v>80</v>
      </c>
    </row>
    <row r="120" spans="1:76" ht="40.799999999999997" x14ac:dyDescent="0.3">
      <c r="A120" s="60">
        <v>119</v>
      </c>
      <c r="B120" s="60" t="s">
        <v>173</v>
      </c>
      <c r="C120" s="78" t="s">
        <v>26</v>
      </c>
      <c r="D120" s="78" t="s">
        <v>226</v>
      </c>
      <c r="E120" s="59" t="s">
        <v>256</v>
      </c>
      <c r="F120" s="48">
        <v>5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48">
        <v>5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84">
        <v>1</v>
      </c>
      <c r="AC120" s="25"/>
      <c r="AD120" s="25"/>
      <c r="AE120" s="25"/>
      <c r="AF120" s="25"/>
      <c r="AG120" s="25"/>
      <c r="AH120" s="25">
        <v>3</v>
      </c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68"/>
      <c r="BA120" s="25"/>
      <c r="BB120" s="68">
        <v>1</v>
      </c>
      <c r="BC120" s="25"/>
      <c r="BD120" s="25"/>
      <c r="BE120" s="25"/>
      <c r="BF120" s="68"/>
      <c r="BG120" s="48">
        <v>3</v>
      </c>
      <c r="BH120" s="25"/>
      <c r="BI120" s="25"/>
      <c r="BJ120" s="25"/>
      <c r="BK120" s="25"/>
      <c r="BL120" s="25"/>
      <c r="BM120" s="25"/>
      <c r="BN120" s="48">
        <v>1</v>
      </c>
      <c r="BO120" s="25"/>
      <c r="BP120" s="63">
        <f t="shared" si="9"/>
        <v>4</v>
      </c>
      <c r="BQ120" s="63">
        <f t="shared" si="7"/>
        <v>1</v>
      </c>
      <c r="BR120" s="63">
        <f t="shared" si="8"/>
        <v>5</v>
      </c>
      <c r="BS120" s="79" t="s">
        <v>77</v>
      </c>
      <c r="BT120" s="79" t="s">
        <v>77</v>
      </c>
      <c r="BU120" s="72" t="s">
        <v>78</v>
      </c>
      <c r="BV120" s="80"/>
      <c r="BW120" s="25" t="s">
        <v>178</v>
      </c>
      <c r="BX120" s="25" t="s">
        <v>80</v>
      </c>
    </row>
    <row r="121" spans="1:76" ht="40.799999999999997" x14ac:dyDescent="0.3">
      <c r="A121" s="60">
        <v>120</v>
      </c>
      <c r="B121" s="60" t="s">
        <v>173</v>
      </c>
      <c r="C121" s="78" t="s">
        <v>26</v>
      </c>
      <c r="D121" s="78" t="s">
        <v>226</v>
      </c>
      <c r="E121" s="59" t="s">
        <v>257</v>
      </c>
      <c r="F121" s="48">
        <v>5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48">
        <v>5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84">
        <v>1</v>
      </c>
      <c r="AC121" s="25"/>
      <c r="AD121" s="25"/>
      <c r="AE121" s="25"/>
      <c r="AF121" s="25"/>
      <c r="AG121" s="25">
        <v>3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68"/>
      <c r="BA121" s="25"/>
      <c r="BB121" s="68">
        <v>1</v>
      </c>
      <c r="BC121" s="25"/>
      <c r="BD121" s="25"/>
      <c r="BE121" s="25"/>
      <c r="BF121" s="68"/>
      <c r="BG121" s="48">
        <v>3</v>
      </c>
      <c r="BH121" s="25"/>
      <c r="BI121" s="25"/>
      <c r="BJ121" s="25"/>
      <c r="BK121" s="25"/>
      <c r="BL121" s="25"/>
      <c r="BM121" s="25"/>
      <c r="BN121" s="48">
        <v>1</v>
      </c>
      <c r="BO121" s="25"/>
      <c r="BP121" s="63">
        <f t="shared" si="9"/>
        <v>4</v>
      </c>
      <c r="BQ121" s="63">
        <f t="shared" si="7"/>
        <v>1</v>
      </c>
      <c r="BR121" s="63">
        <f t="shared" si="8"/>
        <v>5</v>
      </c>
      <c r="BS121" s="79" t="s">
        <v>77</v>
      </c>
      <c r="BT121" s="79" t="s">
        <v>77</v>
      </c>
      <c r="BU121" s="72" t="s">
        <v>78</v>
      </c>
      <c r="BV121" s="80"/>
      <c r="BW121" s="25" t="s">
        <v>178</v>
      </c>
      <c r="BX121" s="25" t="s">
        <v>80</v>
      </c>
    </row>
    <row r="122" spans="1:76" ht="40.799999999999997" x14ac:dyDescent="0.3">
      <c r="A122" s="60">
        <v>121</v>
      </c>
      <c r="B122" s="60" t="s">
        <v>173</v>
      </c>
      <c r="C122" s="78" t="s">
        <v>26</v>
      </c>
      <c r="D122" s="78" t="s">
        <v>226</v>
      </c>
      <c r="E122" s="59" t="s">
        <v>258</v>
      </c>
      <c r="F122" s="48">
        <v>5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48">
        <v>5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84">
        <v>1</v>
      </c>
      <c r="AC122" s="25"/>
      <c r="AD122" s="25"/>
      <c r="AE122" s="25"/>
      <c r="AF122" s="25"/>
      <c r="AG122" s="25">
        <v>3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68"/>
      <c r="BA122" s="25"/>
      <c r="BB122" s="68">
        <v>1</v>
      </c>
      <c r="BC122" s="25"/>
      <c r="BD122" s="25"/>
      <c r="BE122" s="25"/>
      <c r="BF122" s="68"/>
      <c r="BG122" s="48">
        <v>3</v>
      </c>
      <c r="BH122" s="25"/>
      <c r="BI122" s="25"/>
      <c r="BJ122" s="25"/>
      <c r="BK122" s="25"/>
      <c r="BL122" s="25"/>
      <c r="BM122" s="25"/>
      <c r="BN122" s="48">
        <v>1</v>
      </c>
      <c r="BO122" s="25"/>
      <c r="BP122" s="63">
        <f t="shared" si="9"/>
        <v>4</v>
      </c>
      <c r="BQ122" s="63">
        <f t="shared" si="7"/>
        <v>1</v>
      </c>
      <c r="BR122" s="63">
        <f t="shared" si="8"/>
        <v>5</v>
      </c>
      <c r="BS122" s="79" t="s">
        <v>77</v>
      </c>
      <c r="BT122" s="79" t="s">
        <v>77</v>
      </c>
      <c r="BU122" s="72" t="s">
        <v>78</v>
      </c>
      <c r="BV122" s="80"/>
      <c r="BW122" s="25" t="s">
        <v>178</v>
      </c>
      <c r="BX122" s="25" t="s">
        <v>80</v>
      </c>
    </row>
    <row r="123" spans="1:76" ht="30.6" x14ac:dyDescent="0.3">
      <c r="A123" s="60">
        <v>122</v>
      </c>
      <c r="B123" s="60" t="s">
        <v>173</v>
      </c>
      <c r="C123" s="85" t="s">
        <v>259</v>
      </c>
      <c r="D123" s="78" t="s">
        <v>226</v>
      </c>
      <c r="E123" s="59" t="s">
        <v>260</v>
      </c>
      <c r="F123" s="48">
        <v>5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48">
        <v>5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>
        <v>3</v>
      </c>
      <c r="AI123" s="25"/>
      <c r="AJ123" s="25"/>
      <c r="AK123" s="84">
        <v>1</v>
      </c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68"/>
      <c r="BA123" s="25"/>
      <c r="BB123" s="68">
        <v>1</v>
      </c>
      <c r="BC123" s="25"/>
      <c r="BD123" s="25"/>
      <c r="BE123" s="25"/>
      <c r="BF123" s="68"/>
      <c r="BG123" s="48"/>
      <c r="BH123" s="25">
        <v>3</v>
      </c>
      <c r="BI123" s="25"/>
      <c r="BJ123" s="25"/>
      <c r="BK123" s="25"/>
      <c r="BL123" s="25"/>
      <c r="BM123" s="25"/>
      <c r="BN123" s="48">
        <v>1</v>
      </c>
      <c r="BO123" s="25"/>
      <c r="BP123" s="63">
        <f t="shared" si="9"/>
        <v>4</v>
      </c>
      <c r="BQ123" s="63">
        <f t="shared" si="7"/>
        <v>1</v>
      </c>
      <c r="BR123" s="63">
        <f t="shared" si="8"/>
        <v>5</v>
      </c>
      <c r="BS123" s="79" t="s">
        <v>77</v>
      </c>
      <c r="BT123" s="79" t="s">
        <v>77</v>
      </c>
      <c r="BU123" s="72" t="s">
        <v>78</v>
      </c>
      <c r="BV123" s="25"/>
      <c r="BW123" s="25" t="s">
        <v>79</v>
      </c>
      <c r="BX123" s="25" t="s">
        <v>176</v>
      </c>
    </row>
    <row r="124" spans="1:76" ht="30.6" x14ac:dyDescent="0.3">
      <c r="A124" s="60">
        <v>123</v>
      </c>
      <c r="B124" s="60" t="s">
        <v>173</v>
      </c>
      <c r="C124" s="85" t="s">
        <v>259</v>
      </c>
      <c r="D124" s="78" t="s">
        <v>226</v>
      </c>
      <c r="E124" s="59" t="s">
        <v>261</v>
      </c>
      <c r="F124" s="48">
        <v>5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48">
        <v>5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4">
        <v>3</v>
      </c>
      <c r="AI124" s="25"/>
      <c r="AJ124" s="25"/>
      <c r="AK124" s="84">
        <v>1</v>
      </c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68"/>
      <c r="BA124" s="25"/>
      <c r="BB124" s="68">
        <v>1</v>
      </c>
      <c r="BC124" s="25"/>
      <c r="BD124" s="25"/>
      <c r="BE124" s="25"/>
      <c r="BF124" s="68"/>
      <c r="BG124" s="48"/>
      <c r="BH124" s="25">
        <v>3</v>
      </c>
      <c r="BI124" s="25"/>
      <c r="BJ124" s="25"/>
      <c r="BK124" s="25"/>
      <c r="BL124" s="25"/>
      <c r="BM124" s="25"/>
      <c r="BN124" s="48">
        <v>1</v>
      </c>
      <c r="BO124" s="25"/>
      <c r="BP124" s="63">
        <f t="shared" si="9"/>
        <v>4</v>
      </c>
      <c r="BQ124" s="63">
        <f t="shared" si="7"/>
        <v>1</v>
      </c>
      <c r="BR124" s="63">
        <f t="shared" si="8"/>
        <v>5</v>
      </c>
      <c r="BS124" s="79" t="s">
        <v>77</v>
      </c>
      <c r="BT124" s="79" t="s">
        <v>77</v>
      </c>
      <c r="BU124" s="72" t="s">
        <v>78</v>
      </c>
      <c r="BV124" s="25"/>
      <c r="BW124" s="25" t="s">
        <v>79</v>
      </c>
      <c r="BX124" s="25" t="s">
        <v>262</v>
      </c>
    </row>
    <row r="125" spans="1:76" ht="20.399999999999999" x14ac:dyDescent="0.3">
      <c r="A125" s="60">
        <v>124</v>
      </c>
      <c r="B125" s="60" t="s">
        <v>173</v>
      </c>
      <c r="C125" s="78" t="s">
        <v>27</v>
      </c>
      <c r="D125" s="78" t="s">
        <v>226</v>
      </c>
      <c r="E125" s="59" t="s">
        <v>263</v>
      </c>
      <c r="F125" s="48">
        <v>5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48">
        <v>5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84">
        <v>5</v>
      </c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68">
        <v>3</v>
      </c>
      <c r="BA125" s="25"/>
      <c r="BB125" s="25"/>
      <c r="BC125" s="25"/>
      <c r="BD125" s="25"/>
      <c r="BE125" s="25"/>
      <c r="BF125" s="68">
        <v>3</v>
      </c>
      <c r="BG125" s="48"/>
      <c r="BH125" s="25"/>
      <c r="BI125" s="61">
        <v>5</v>
      </c>
      <c r="BJ125" s="25"/>
      <c r="BK125" s="25"/>
      <c r="BL125" s="25"/>
      <c r="BM125" s="25"/>
      <c r="BN125" s="48">
        <v>1</v>
      </c>
      <c r="BO125" s="25"/>
      <c r="BP125" s="63">
        <f t="shared" si="9"/>
        <v>8</v>
      </c>
      <c r="BQ125" s="63">
        <f t="shared" si="7"/>
        <v>1</v>
      </c>
      <c r="BR125" s="63">
        <f t="shared" si="8"/>
        <v>9</v>
      </c>
      <c r="BS125" s="28" t="s">
        <v>78</v>
      </c>
      <c r="BT125" s="71" t="s">
        <v>78</v>
      </c>
      <c r="BU125" s="72" t="s">
        <v>78</v>
      </c>
      <c r="BV125" s="25" t="s">
        <v>106</v>
      </c>
      <c r="BW125" s="25" t="s">
        <v>178</v>
      </c>
      <c r="BX125" s="25"/>
    </row>
    <row r="126" spans="1:76" ht="51" x14ac:dyDescent="0.3">
      <c r="A126" s="60">
        <v>125</v>
      </c>
      <c r="B126" s="60" t="s">
        <v>173</v>
      </c>
      <c r="C126" s="78" t="s">
        <v>27</v>
      </c>
      <c r="D126" s="78" t="s">
        <v>226</v>
      </c>
      <c r="E126" s="59" t="s">
        <v>264</v>
      </c>
      <c r="F126" s="48">
        <v>5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48">
        <v>5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84">
        <v>5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68">
        <v>3</v>
      </c>
      <c r="BA126" s="25"/>
      <c r="BB126" s="25"/>
      <c r="BC126" s="25"/>
      <c r="BD126" s="25"/>
      <c r="BE126" s="25"/>
      <c r="BF126" s="68">
        <v>3</v>
      </c>
      <c r="BG126" s="48"/>
      <c r="BH126" s="25"/>
      <c r="BI126" s="61">
        <v>5</v>
      </c>
      <c r="BJ126" s="25"/>
      <c r="BK126" s="25"/>
      <c r="BL126" s="25"/>
      <c r="BM126" s="25"/>
      <c r="BN126" s="48">
        <v>1</v>
      </c>
      <c r="BO126" s="25"/>
      <c r="BP126" s="63">
        <f t="shared" si="9"/>
        <v>8</v>
      </c>
      <c r="BQ126" s="63">
        <f t="shared" si="7"/>
        <v>1</v>
      </c>
      <c r="BR126" s="63">
        <f t="shared" si="8"/>
        <v>9</v>
      </c>
      <c r="BS126" s="28" t="s">
        <v>78</v>
      </c>
      <c r="BT126" s="71" t="s">
        <v>78</v>
      </c>
      <c r="BU126" s="72" t="s">
        <v>78</v>
      </c>
      <c r="BV126" s="25" t="s">
        <v>106</v>
      </c>
      <c r="BW126" s="25" t="s">
        <v>178</v>
      </c>
      <c r="BX126" s="25"/>
    </row>
    <row r="127" spans="1:76" ht="51" x14ac:dyDescent="0.3">
      <c r="A127" s="60">
        <v>126</v>
      </c>
      <c r="B127" s="60" t="s">
        <v>173</v>
      </c>
      <c r="C127" s="78" t="s">
        <v>27</v>
      </c>
      <c r="D127" s="78" t="s">
        <v>226</v>
      </c>
      <c r="E127" s="59" t="s">
        <v>265</v>
      </c>
      <c r="F127" s="48">
        <v>5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48">
        <v>5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84">
        <v>5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68">
        <v>3</v>
      </c>
      <c r="BA127" s="25"/>
      <c r="BB127" s="25"/>
      <c r="BC127" s="25"/>
      <c r="BD127" s="25"/>
      <c r="BE127" s="25"/>
      <c r="BF127" s="68">
        <v>3</v>
      </c>
      <c r="BG127" s="48"/>
      <c r="BH127" s="25"/>
      <c r="BI127" s="61">
        <v>5</v>
      </c>
      <c r="BJ127" s="25"/>
      <c r="BK127" s="25"/>
      <c r="BL127" s="25"/>
      <c r="BM127" s="25"/>
      <c r="BN127" s="48">
        <v>1</v>
      </c>
      <c r="BO127" s="25"/>
      <c r="BP127" s="63">
        <f t="shared" si="9"/>
        <v>8</v>
      </c>
      <c r="BQ127" s="63">
        <f t="shared" si="7"/>
        <v>1</v>
      </c>
      <c r="BR127" s="63">
        <f t="shared" si="8"/>
        <v>9</v>
      </c>
      <c r="BS127" s="28" t="s">
        <v>78</v>
      </c>
      <c r="BT127" s="71" t="s">
        <v>78</v>
      </c>
      <c r="BU127" s="72" t="s">
        <v>78</v>
      </c>
      <c r="BV127" s="25" t="s">
        <v>106</v>
      </c>
      <c r="BW127" s="25" t="s">
        <v>178</v>
      </c>
      <c r="BX127" s="25"/>
    </row>
    <row r="128" spans="1:76" ht="30.6" x14ac:dyDescent="0.3">
      <c r="A128" s="60">
        <v>127</v>
      </c>
      <c r="B128" s="60" t="s">
        <v>173</v>
      </c>
      <c r="C128" s="78" t="s">
        <v>32</v>
      </c>
      <c r="D128" s="78" t="s">
        <v>226</v>
      </c>
      <c r="E128" s="59" t="s">
        <v>266</v>
      </c>
      <c r="F128" s="48">
        <v>5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48">
        <v>5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84">
        <v>1</v>
      </c>
      <c r="AI128" s="25">
        <v>3</v>
      </c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68"/>
      <c r="BA128" s="25"/>
      <c r="BB128" s="68">
        <v>1</v>
      </c>
      <c r="BC128" s="25"/>
      <c r="BD128" s="25"/>
      <c r="BE128" s="25"/>
      <c r="BF128" s="68"/>
      <c r="BG128" s="48"/>
      <c r="BH128" s="25">
        <v>3</v>
      </c>
      <c r="BI128" s="25"/>
      <c r="BJ128" s="25"/>
      <c r="BK128" s="25"/>
      <c r="BL128" s="25"/>
      <c r="BM128" s="25"/>
      <c r="BN128" s="48">
        <v>1</v>
      </c>
      <c r="BO128" s="25"/>
      <c r="BP128" s="63">
        <f t="shared" si="9"/>
        <v>4</v>
      </c>
      <c r="BQ128" s="63">
        <f t="shared" si="7"/>
        <v>1</v>
      </c>
      <c r="BR128" s="63">
        <f t="shared" si="8"/>
        <v>5</v>
      </c>
      <c r="BS128" s="79" t="s">
        <v>77</v>
      </c>
      <c r="BT128" s="79" t="s">
        <v>77</v>
      </c>
      <c r="BU128" s="72" t="s">
        <v>78</v>
      </c>
      <c r="BV128" s="25"/>
      <c r="BW128" s="25" t="s">
        <v>79</v>
      </c>
      <c r="BX128" s="25" t="s">
        <v>262</v>
      </c>
    </row>
    <row r="129" spans="1:76" ht="30.6" x14ac:dyDescent="0.3">
      <c r="A129" s="60">
        <v>128</v>
      </c>
      <c r="B129" s="60" t="s">
        <v>173</v>
      </c>
      <c r="C129" s="78" t="s">
        <v>32</v>
      </c>
      <c r="D129" s="78" t="s">
        <v>226</v>
      </c>
      <c r="E129" s="59" t="s">
        <v>267</v>
      </c>
      <c r="F129" s="48">
        <v>5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48">
        <v>5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84">
        <v>1</v>
      </c>
      <c r="AI129" s="25">
        <v>3</v>
      </c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68"/>
      <c r="BA129" s="25"/>
      <c r="BB129" s="68">
        <v>1</v>
      </c>
      <c r="BC129" s="25"/>
      <c r="BD129" s="25"/>
      <c r="BE129" s="25"/>
      <c r="BF129" s="68"/>
      <c r="BG129" s="48"/>
      <c r="BH129" s="25">
        <v>3</v>
      </c>
      <c r="BI129" s="25"/>
      <c r="BJ129" s="25"/>
      <c r="BK129" s="25"/>
      <c r="BL129" s="25"/>
      <c r="BM129" s="25"/>
      <c r="BN129" s="48">
        <v>1</v>
      </c>
      <c r="BO129" s="25"/>
      <c r="BP129" s="63">
        <f t="shared" si="9"/>
        <v>4</v>
      </c>
      <c r="BQ129" s="63">
        <f t="shared" si="7"/>
        <v>1</v>
      </c>
      <c r="BR129" s="63">
        <f t="shared" si="8"/>
        <v>5</v>
      </c>
      <c r="BS129" s="79" t="s">
        <v>77</v>
      </c>
      <c r="BT129" s="79" t="s">
        <v>77</v>
      </c>
      <c r="BU129" s="72" t="s">
        <v>78</v>
      </c>
      <c r="BV129" s="25"/>
      <c r="BW129" s="25" t="s">
        <v>79</v>
      </c>
      <c r="BX129" s="25" t="s">
        <v>262</v>
      </c>
    </row>
    <row r="130" spans="1:76" ht="30.6" x14ac:dyDescent="0.3">
      <c r="A130" s="60">
        <v>129</v>
      </c>
      <c r="B130" s="60" t="s">
        <v>173</v>
      </c>
      <c r="C130" s="85" t="s">
        <v>268</v>
      </c>
      <c r="D130" s="78" t="s">
        <v>226</v>
      </c>
      <c r="E130" s="59" t="s">
        <v>269</v>
      </c>
      <c r="F130" s="48">
        <v>5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48">
        <v>5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84">
        <v>1</v>
      </c>
      <c r="AL130" s="25"/>
      <c r="AM130" s="25">
        <v>3</v>
      </c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68"/>
      <c r="BA130" s="25"/>
      <c r="BB130" s="68">
        <v>1</v>
      </c>
      <c r="BC130" s="25"/>
      <c r="BD130" s="25"/>
      <c r="BE130" s="25"/>
      <c r="BF130" s="68"/>
      <c r="BG130" s="48"/>
      <c r="BH130" s="25">
        <v>3</v>
      </c>
      <c r="BI130" s="25"/>
      <c r="BJ130" s="25"/>
      <c r="BK130" s="25"/>
      <c r="BL130" s="25"/>
      <c r="BM130" s="25"/>
      <c r="BN130" s="48">
        <v>1</v>
      </c>
      <c r="BO130" s="25"/>
      <c r="BP130" s="63">
        <f t="shared" si="9"/>
        <v>4</v>
      </c>
      <c r="BQ130" s="63">
        <f t="shared" ref="BQ130:BQ192" si="10">SUM(BL130:BO130)</f>
        <v>1</v>
      </c>
      <c r="BR130" s="63">
        <f t="shared" ref="BR130:BR192" si="11">SUM(BP130:BQ130)</f>
        <v>5</v>
      </c>
      <c r="BS130" s="79" t="s">
        <v>77</v>
      </c>
      <c r="BT130" s="79" t="s">
        <v>77</v>
      </c>
      <c r="BU130" s="72" t="s">
        <v>78</v>
      </c>
      <c r="BV130" s="25"/>
      <c r="BW130" s="25" t="s">
        <v>79</v>
      </c>
      <c r="BX130" s="25" t="s">
        <v>270</v>
      </c>
    </row>
    <row r="131" spans="1:76" ht="30.6" x14ac:dyDescent="0.3">
      <c r="A131" s="60">
        <v>130</v>
      </c>
      <c r="B131" s="60" t="s">
        <v>173</v>
      </c>
      <c r="C131" s="85" t="s">
        <v>268</v>
      </c>
      <c r="D131" s="78" t="s">
        <v>226</v>
      </c>
      <c r="E131" s="59" t="s">
        <v>271</v>
      </c>
      <c r="F131" s="48">
        <v>5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48">
        <v>5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84">
        <v>1</v>
      </c>
      <c r="AL131" s="25"/>
      <c r="AM131" s="25">
        <v>3</v>
      </c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68"/>
      <c r="BA131" s="25"/>
      <c r="BB131" s="68">
        <v>1</v>
      </c>
      <c r="BC131" s="25"/>
      <c r="BD131" s="25"/>
      <c r="BE131" s="25"/>
      <c r="BF131" s="68"/>
      <c r="BG131" s="48"/>
      <c r="BH131" s="25">
        <v>3</v>
      </c>
      <c r="BI131" s="25"/>
      <c r="BJ131" s="25"/>
      <c r="BK131" s="25"/>
      <c r="BL131" s="25"/>
      <c r="BM131" s="25"/>
      <c r="BN131" s="48">
        <v>1</v>
      </c>
      <c r="BO131" s="25"/>
      <c r="BP131" s="63">
        <f t="shared" si="9"/>
        <v>4</v>
      </c>
      <c r="BQ131" s="63">
        <f t="shared" si="10"/>
        <v>1</v>
      </c>
      <c r="BR131" s="63">
        <f t="shared" si="11"/>
        <v>5</v>
      </c>
      <c r="BS131" s="79" t="s">
        <v>77</v>
      </c>
      <c r="BT131" s="79" t="s">
        <v>77</v>
      </c>
      <c r="BU131" s="72" t="s">
        <v>78</v>
      </c>
      <c r="BV131" s="25"/>
      <c r="BW131" s="25" t="s">
        <v>79</v>
      </c>
      <c r="BX131" s="25" t="s">
        <v>270</v>
      </c>
    </row>
    <row r="132" spans="1:76" ht="20.399999999999999" x14ac:dyDescent="0.3">
      <c r="A132" s="60">
        <v>131</v>
      </c>
      <c r="B132" s="60" t="s">
        <v>272</v>
      </c>
      <c r="C132" s="78" t="s">
        <v>18</v>
      </c>
      <c r="D132" s="78" t="s">
        <v>174</v>
      </c>
      <c r="E132" s="59" t="s">
        <v>273</v>
      </c>
      <c r="F132" s="48">
        <v>5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48">
        <v>5</v>
      </c>
      <c r="O132" s="25"/>
      <c r="P132" s="25"/>
      <c r="Q132" s="25"/>
      <c r="R132" s="25"/>
      <c r="S132" s="84">
        <v>1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86"/>
      <c r="AX132" s="86"/>
      <c r="AY132" s="86"/>
      <c r="AZ132" s="68"/>
      <c r="BA132" s="86"/>
      <c r="BB132" s="86">
        <v>1</v>
      </c>
      <c r="BC132" s="86"/>
      <c r="BD132" s="86"/>
      <c r="BE132" s="86"/>
      <c r="BF132" s="68"/>
      <c r="BG132" s="68"/>
      <c r="BH132" s="86"/>
      <c r="BI132" s="61"/>
      <c r="BJ132" s="86"/>
      <c r="BK132" s="86"/>
      <c r="BL132" s="86"/>
      <c r="BM132" s="86"/>
      <c r="BN132" s="68">
        <v>1</v>
      </c>
      <c r="BO132" s="25"/>
      <c r="BP132" s="63">
        <f t="shared" si="9"/>
        <v>1</v>
      </c>
      <c r="BQ132" s="63">
        <f t="shared" si="10"/>
        <v>1</v>
      </c>
      <c r="BR132" s="63">
        <f t="shared" si="11"/>
        <v>2</v>
      </c>
      <c r="BS132" s="79" t="s">
        <v>77</v>
      </c>
      <c r="BT132" s="79" t="s">
        <v>77</v>
      </c>
      <c r="BU132" s="79" t="s">
        <v>77</v>
      </c>
      <c r="BV132" s="25" t="s">
        <v>274</v>
      </c>
      <c r="BW132" s="25" t="s">
        <v>79</v>
      </c>
      <c r="BX132" s="25" t="s">
        <v>275</v>
      </c>
    </row>
    <row r="133" spans="1:76" ht="20.399999999999999" x14ac:dyDescent="0.3">
      <c r="A133" s="60">
        <v>132</v>
      </c>
      <c r="B133" s="60" t="s">
        <v>173</v>
      </c>
      <c r="C133" s="78" t="s">
        <v>27</v>
      </c>
      <c r="D133" s="78" t="s">
        <v>226</v>
      </c>
      <c r="E133" s="59" t="s">
        <v>276</v>
      </c>
      <c r="F133" s="48">
        <v>5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48">
        <v>5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84">
        <v>5</v>
      </c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68">
        <v>3</v>
      </c>
      <c r="BA133" s="25"/>
      <c r="BB133" s="25"/>
      <c r="BC133" s="25"/>
      <c r="BD133" s="25"/>
      <c r="BE133" s="25"/>
      <c r="BF133" s="68">
        <v>3</v>
      </c>
      <c r="BG133" s="48"/>
      <c r="BH133" s="25"/>
      <c r="BI133" s="61">
        <v>5</v>
      </c>
      <c r="BJ133" s="25"/>
      <c r="BK133" s="25"/>
      <c r="BL133" s="25"/>
      <c r="BM133" s="25"/>
      <c r="BN133" s="48">
        <v>1</v>
      </c>
      <c r="BO133" s="25"/>
      <c r="BP133" s="63">
        <f t="shared" si="9"/>
        <v>8</v>
      </c>
      <c r="BQ133" s="63">
        <f t="shared" si="10"/>
        <v>1</v>
      </c>
      <c r="BR133" s="63">
        <f t="shared" si="11"/>
        <v>9</v>
      </c>
      <c r="BS133" s="28" t="s">
        <v>78</v>
      </c>
      <c r="BT133" s="71" t="s">
        <v>78</v>
      </c>
      <c r="BU133" s="72" t="s">
        <v>78</v>
      </c>
      <c r="BV133" s="25" t="s">
        <v>106</v>
      </c>
      <c r="BW133" s="25" t="s">
        <v>178</v>
      </c>
      <c r="BX133" s="25"/>
    </row>
    <row r="134" spans="1:76" ht="40.799999999999997" x14ac:dyDescent="0.3">
      <c r="A134" s="60">
        <v>133</v>
      </c>
      <c r="B134" s="60" t="s">
        <v>173</v>
      </c>
      <c r="C134" s="85" t="s">
        <v>259</v>
      </c>
      <c r="D134" s="78" t="s">
        <v>226</v>
      </c>
      <c r="E134" s="59" t="s">
        <v>277</v>
      </c>
      <c r="F134" s="48">
        <v>5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48">
        <v>5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>
        <v>3</v>
      </c>
      <c r="AD134" s="25"/>
      <c r="AE134" s="25"/>
      <c r="AF134" s="25"/>
      <c r="AG134" s="25"/>
      <c r="AH134" s="25"/>
      <c r="AI134" s="25"/>
      <c r="AJ134" s="25"/>
      <c r="AK134" s="84">
        <v>1</v>
      </c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68"/>
      <c r="BA134" s="25"/>
      <c r="BB134" s="68">
        <v>1</v>
      </c>
      <c r="BC134" s="25"/>
      <c r="BD134" s="25"/>
      <c r="BE134" s="25"/>
      <c r="BF134" s="68"/>
      <c r="BG134" s="48"/>
      <c r="BH134" s="25">
        <v>3</v>
      </c>
      <c r="BI134" s="25"/>
      <c r="BJ134" s="25"/>
      <c r="BK134" s="25"/>
      <c r="BL134" s="25"/>
      <c r="BM134" s="25"/>
      <c r="BN134" s="48">
        <v>1</v>
      </c>
      <c r="BO134" s="25"/>
      <c r="BP134" s="63">
        <f t="shared" si="9"/>
        <v>4</v>
      </c>
      <c r="BQ134" s="63">
        <f t="shared" si="10"/>
        <v>1</v>
      </c>
      <c r="BR134" s="63">
        <f t="shared" si="11"/>
        <v>5</v>
      </c>
      <c r="BS134" s="79" t="s">
        <v>77</v>
      </c>
      <c r="BT134" s="79" t="s">
        <v>77</v>
      </c>
      <c r="BU134" s="72" t="s">
        <v>78</v>
      </c>
      <c r="BV134" s="25"/>
      <c r="BW134" s="25" t="s">
        <v>79</v>
      </c>
      <c r="BX134" s="25" t="s">
        <v>270</v>
      </c>
    </row>
    <row r="135" spans="1:76" ht="30.6" x14ac:dyDescent="0.3">
      <c r="A135" s="60">
        <v>134</v>
      </c>
      <c r="B135" s="60" t="s">
        <v>272</v>
      </c>
      <c r="C135" s="78" t="s">
        <v>18</v>
      </c>
      <c r="D135" s="78" t="s">
        <v>174</v>
      </c>
      <c r="E135" s="59" t="s">
        <v>278</v>
      </c>
      <c r="F135" s="48">
        <v>5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48">
        <v>5</v>
      </c>
      <c r="O135" s="25"/>
      <c r="P135" s="25"/>
      <c r="Q135" s="25"/>
      <c r="R135" s="25"/>
      <c r="S135" s="84">
        <v>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68">
        <v>1</v>
      </c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>
        <v>1</v>
      </c>
      <c r="BO135" s="25"/>
      <c r="BP135" s="63">
        <f t="shared" si="9"/>
        <v>1</v>
      </c>
      <c r="BQ135" s="63">
        <f t="shared" si="10"/>
        <v>1</v>
      </c>
      <c r="BR135" s="63">
        <f t="shared" si="11"/>
        <v>2</v>
      </c>
      <c r="BS135" s="79" t="s">
        <v>77</v>
      </c>
      <c r="BT135" s="79" t="s">
        <v>77</v>
      </c>
      <c r="BU135" s="87" t="s">
        <v>77</v>
      </c>
      <c r="BV135" s="25" t="s">
        <v>274</v>
      </c>
      <c r="BW135" s="25" t="s">
        <v>79</v>
      </c>
      <c r="BX135" s="25" t="s">
        <v>275</v>
      </c>
    </row>
    <row r="136" spans="1:76" ht="20.399999999999999" x14ac:dyDescent="0.3">
      <c r="A136" s="60">
        <v>135</v>
      </c>
      <c r="B136" s="60" t="s">
        <v>272</v>
      </c>
      <c r="C136" s="78" t="s">
        <v>18</v>
      </c>
      <c r="D136" s="78" t="s">
        <v>174</v>
      </c>
      <c r="E136" s="59" t="s">
        <v>273</v>
      </c>
      <c r="F136" s="48">
        <v>5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48">
        <v>5</v>
      </c>
      <c r="O136" s="25"/>
      <c r="P136" s="25"/>
      <c r="Q136" s="25"/>
      <c r="R136" s="25"/>
      <c r="S136" s="84">
        <v>1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68">
        <v>1</v>
      </c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>
        <v>1</v>
      </c>
      <c r="BO136" s="25"/>
      <c r="BP136" s="63">
        <f t="shared" si="9"/>
        <v>1</v>
      </c>
      <c r="BQ136" s="63">
        <f t="shared" si="10"/>
        <v>1</v>
      </c>
      <c r="BR136" s="63">
        <f t="shared" si="11"/>
        <v>2</v>
      </c>
      <c r="BS136" s="79" t="s">
        <v>77</v>
      </c>
      <c r="BT136" s="79" t="s">
        <v>77</v>
      </c>
      <c r="BU136" s="87" t="s">
        <v>77</v>
      </c>
      <c r="BV136" s="25" t="s">
        <v>274</v>
      </c>
      <c r="BW136" s="25" t="s">
        <v>79</v>
      </c>
      <c r="BX136" s="25" t="s">
        <v>275</v>
      </c>
    </row>
    <row r="137" spans="1:76" ht="51" x14ac:dyDescent="0.3">
      <c r="A137" s="60">
        <v>136</v>
      </c>
      <c r="B137" s="60" t="s">
        <v>272</v>
      </c>
      <c r="C137" s="78" t="s">
        <v>18</v>
      </c>
      <c r="D137" s="78" t="s">
        <v>174</v>
      </c>
      <c r="E137" s="59" t="s">
        <v>279</v>
      </c>
      <c r="F137" s="48">
        <v>5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48">
        <v>5</v>
      </c>
      <c r="O137" s="25"/>
      <c r="P137" s="25"/>
      <c r="Q137" s="25"/>
      <c r="R137" s="25"/>
      <c r="S137" s="84">
        <v>1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68">
        <v>1</v>
      </c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>
        <v>1</v>
      </c>
      <c r="BO137" s="25"/>
      <c r="BP137" s="63">
        <f t="shared" si="9"/>
        <v>1</v>
      </c>
      <c r="BQ137" s="63">
        <f t="shared" si="10"/>
        <v>1</v>
      </c>
      <c r="BR137" s="63">
        <f t="shared" si="11"/>
        <v>2</v>
      </c>
      <c r="BS137" s="79" t="s">
        <v>77</v>
      </c>
      <c r="BT137" s="79" t="s">
        <v>77</v>
      </c>
      <c r="BU137" s="87" t="s">
        <v>77</v>
      </c>
      <c r="BV137" s="25" t="s">
        <v>274</v>
      </c>
      <c r="BW137" s="25" t="s">
        <v>79</v>
      </c>
      <c r="BX137" s="25" t="s">
        <v>275</v>
      </c>
    </row>
    <row r="138" spans="1:76" ht="30.6" x14ac:dyDescent="0.3">
      <c r="A138" s="60">
        <v>137</v>
      </c>
      <c r="B138" s="60" t="s">
        <v>272</v>
      </c>
      <c r="C138" s="78" t="s">
        <v>18</v>
      </c>
      <c r="D138" s="78" t="s">
        <v>174</v>
      </c>
      <c r="E138" s="59" t="s">
        <v>280</v>
      </c>
      <c r="F138" s="48">
        <v>5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48">
        <v>5</v>
      </c>
      <c r="O138" s="25"/>
      <c r="P138" s="25"/>
      <c r="Q138" s="25"/>
      <c r="R138" s="25"/>
      <c r="S138" s="84">
        <v>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68">
        <v>1</v>
      </c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>
        <v>1</v>
      </c>
      <c r="BO138" s="25"/>
      <c r="BP138" s="63">
        <f t="shared" si="9"/>
        <v>1</v>
      </c>
      <c r="BQ138" s="63">
        <f t="shared" si="10"/>
        <v>1</v>
      </c>
      <c r="BR138" s="63">
        <f t="shared" si="11"/>
        <v>2</v>
      </c>
      <c r="BS138" s="79" t="s">
        <v>77</v>
      </c>
      <c r="BT138" s="79" t="s">
        <v>77</v>
      </c>
      <c r="BU138" s="87" t="s">
        <v>77</v>
      </c>
      <c r="BV138" s="25" t="s">
        <v>274</v>
      </c>
      <c r="BW138" s="25" t="s">
        <v>79</v>
      </c>
      <c r="BX138" s="25" t="s">
        <v>275</v>
      </c>
    </row>
    <row r="139" spans="1:76" ht="30.6" x14ac:dyDescent="0.3">
      <c r="A139" s="60">
        <v>138</v>
      </c>
      <c r="B139" s="60" t="s">
        <v>272</v>
      </c>
      <c r="C139" s="78" t="s">
        <v>20</v>
      </c>
      <c r="D139" s="78" t="s">
        <v>174</v>
      </c>
      <c r="E139" s="59" t="s">
        <v>281</v>
      </c>
      <c r="F139" s="48">
        <v>5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48">
        <v>5</v>
      </c>
      <c r="O139" s="25"/>
      <c r="P139" s="25"/>
      <c r="Q139" s="25"/>
      <c r="R139" s="25"/>
      <c r="S139" s="25"/>
      <c r="T139" s="25"/>
      <c r="U139" s="84">
        <v>1</v>
      </c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68">
        <v>1</v>
      </c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>
        <v>1</v>
      </c>
      <c r="BO139" s="25"/>
      <c r="BP139" s="63">
        <f t="shared" ref="BP139:BP192" si="12">SUM(BA139:BK139)</f>
        <v>1</v>
      </c>
      <c r="BQ139" s="63">
        <f t="shared" si="10"/>
        <v>1</v>
      </c>
      <c r="BR139" s="63">
        <f t="shared" si="11"/>
        <v>2</v>
      </c>
      <c r="BS139" s="79" t="s">
        <v>77</v>
      </c>
      <c r="BT139" s="79" t="s">
        <v>77</v>
      </c>
      <c r="BU139" s="87" t="s">
        <v>77</v>
      </c>
      <c r="BV139" s="25" t="s">
        <v>274</v>
      </c>
      <c r="BW139" s="25" t="s">
        <v>79</v>
      </c>
      <c r="BX139" s="25" t="s">
        <v>275</v>
      </c>
    </row>
    <row r="140" spans="1:76" ht="20.399999999999999" x14ac:dyDescent="0.3">
      <c r="A140" s="60">
        <v>139</v>
      </c>
      <c r="B140" s="60" t="s">
        <v>272</v>
      </c>
      <c r="C140" s="78" t="s">
        <v>18</v>
      </c>
      <c r="D140" s="78" t="s">
        <v>174</v>
      </c>
      <c r="E140" s="59" t="s">
        <v>282</v>
      </c>
      <c r="F140" s="48">
        <v>5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48">
        <v>5</v>
      </c>
      <c r="O140" s="25"/>
      <c r="P140" s="25"/>
      <c r="Q140" s="25"/>
      <c r="R140" s="25"/>
      <c r="S140" s="84">
        <v>1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68">
        <v>1</v>
      </c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>
        <v>1</v>
      </c>
      <c r="BO140" s="25"/>
      <c r="BP140" s="63">
        <f t="shared" si="12"/>
        <v>1</v>
      </c>
      <c r="BQ140" s="63">
        <f t="shared" si="10"/>
        <v>1</v>
      </c>
      <c r="BR140" s="63">
        <f t="shared" si="11"/>
        <v>2</v>
      </c>
      <c r="BS140" s="79" t="s">
        <v>77</v>
      </c>
      <c r="BT140" s="79" t="s">
        <v>77</v>
      </c>
      <c r="BU140" s="87" t="s">
        <v>77</v>
      </c>
      <c r="BV140" s="25" t="s">
        <v>274</v>
      </c>
      <c r="BW140" s="25" t="s">
        <v>79</v>
      </c>
      <c r="BX140" s="25" t="s">
        <v>275</v>
      </c>
    </row>
    <row r="141" spans="1:76" ht="30.6" x14ac:dyDescent="0.3">
      <c r="A141" s="60">
        <v>140</v>
      </c>
      <c r="B141" s="60" t="s">
        <v>272</v>
      </c>
      <c r="C141" s="78" t="s">
        <v>283</v>
      </c>
      <c r="D141" s="78" t="s">
        <v>174</v>
      </c>
      <c r="E141" s="59" t="s">
        <v>284</v>
      </c>
      <c r="F141" s="48">
        <v>5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48">
        <v>5</v>
      </c>
      <c r="O141" s="25"/>
      <c r="P141" s="84">
        <v>3</v>
      </c>
      <c r="Q141" s="4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68"/>
      <c r="BC141" s="25"/>
      <c r="BD141" s="25"/>
      <c r="BE141" s="25"/>
      <c r="BF141" s="25"/>
      <c r="BG141" s="48">
        <v>3</v>
      </c>
      <c r="BH141" s="25"/>
      <c r="BI141" s="25"/>
      <c r="BJ141" s="25"/>
      <c r="BK141" s="25"/>
      <c r="BL141" s="25">
        <v>1</v>
      </c>
      <c r="BM141" s="25"/>
      <c r="BN141" s="25"/>
      <c r="BO141" s="25"/>
      <c r="BP141" s="63">
        <f t="shared" si="12"/>
        <v>3</v>
      </c>
      <c r="BQ141" s="63">
        <f t="shared" si="10"/>
        <v>1</v>
      </c>
      <c r="BR141" s="63">
        <f t="shared" si="11"/>
        <v>4</v>
      </c>
      <c r="BS141" s="79" t="s">
        <v>77</v>
      </c>
      <c r="BT141" s="79" t="s">
        <v>77</v>
      </c>
      <c r="BU141" s="87" t="s">
        <v>77</v>
      </c>
      <c r="BV141" s="25" t="s">
        <v>274</v>
      </c>
      <c r="BW141" s="25" t="s">
        <v>79</v>
      </c>
      <c r="BX141" s="25" t="s">
        <v>275</v>
      </c>
    </row>
    <row r="142" spans="1:76" ht="51" x14ac:dyDescent="0.3">
      <c r="A142" s="60">
        <v>141</v>
      </c>
      <c r="B142" s="60" t="s">
        <v>272</v>
      </c>
      <c r="C142" s="78" t="s">
        <v>18</v>
      </c>
      <c r="D142" s="78" t="s">
        <v>174</v>
      </c>
      <c r="E142" s="59" t="s">
        <v>285</v>
      </c>
      <c r="F142" s="48">
        <v>5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48">
        <v>5</v>
      </c>
      <c r="O142" s="25"/>
      <c r="P142" s="25"/>
      <c r="Q142" s="25"/>
      <c r="R142" s="25"/>
      <c r="S142" s="84">
        <v>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68">
        <v>1</v>
      </c>
      <c r="BC142" s="25"/>
      <c r="BD142" s="25"/>
      <c r="BE142" s="25"/>
      <c r="BF142" s="25"/>
      <c r="BG142" s="48"/>
      <c r="BH142" s="25"/>
      <c r="BI142" s="25"/>
      <c r="BJ142" s="25"/>
      <c r="BK142" s="25"/>
      <c r="BL142" s="25">
        <v>1</v>
      </c>
      <c r="BM142" s="25"/>
      <c r="BN142" s="25"/>
      <c r="BO142" s="25"/>
      <c r="BP142" s="63">
        <f t="shared" si="12"/>
        <v>1</v>
      </c>
      <c r="BQ142" s="63">
        <f t="shared" si="10"/>
        <v>1</v>
      </c>
      <c r="BR142" s="63">
        <f t="shared" si="11"/>
        <v>2</v>
      </c>
      <c r="BS142" s="79" t="s">
        <v>77</v>
      </c>
      <c r="BT142" s="79" t="s">
        <v>77</v>
      </c>
      <c r="BU142" s="79" t="s">
        <v>77</v>
      </c>
      <c r="BV142" s="25" t="s">
        <v>274</v>
      </c>
      <c r="BW142" s="25" t="s">
        <v>79</v>
      </c>
      <c r="BX142" s="25" t="s">
        <v>275</v>
      </c>
    </row>
    <row r="143" spans="1:76" ht="20.399999999999999" x14ac:dyDescent="0.3">
      <c r="A143" s="60">
        <v>142</v>
      </c>
      <c r="B143" s="60" t="s">
        <v>272</v>
      </c>
      <c r="C143" s="78" t="s">
        <v>46</v>
      </c>
      <c r="D143" s="78" t="s">
        <v>199</v>
      </c>
      <c r="E143" s="59" t="s">
        <v>286</v>
      </c>
      <c r="F143" s="48">
        <v>5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48">
        <v>5</v>
      </c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84">
        <v>1</v>
      </c>
      <c r="AW143" s="25"/>
      <c r="AX143" s="25">
        <v>3</v>
      </c>
      <c r="AY143" s="25"/>
      <c r="AZ143" s="25"/>
      <c r="BA143" s="25"/>
      <c r="BB143" s="68">
        <v>1</v>
      </c>
      <c r="BC143" s="25"/>
      <c r="BD143" s="25"/>
      <c r="BE143" s="25"/>
      <c r="BF143" s="25"/>
      <c r="BG143" s="48">
        <v>3</v>
      </c>
      <c r="BH143" s="25"/>
      <c r="BI143" s="25"/>
      <c r="BJ143" s="25"/>
      <c r="BK143" s="25"/>
      <c r="BL143" s="25">
        <v>1</v>
      </c>
      <c r="BM143" s="25"/>
      <c r="BN143" s="25"/>
      <c r="BO143" s="25"/>
      <c r="BP143" s="63">
        <f t="shared" si="12"/>
        <v>4</v>
      </c>
      <c r="BQ143" s="63">
        <f t="shared" si="10"/>
        <v>1</v>
      </c>
      <c r="BR143" s="63">
        <f t="shared" si="11"/>
        <v>5</v>
      </c>
      <c r="BS143" s="79" t="s">
        <v>77</v>
      </c>
      <c r="BT143" s="79" t="s">
        <v>77</v>
      </c>
      <c r="BU143" s="72" t="s">
        <v>78</v>
      </c>
      <c r="BV143" s="25"/>
      <c r="BW143" s="25" t="s">
        <v>79</v>
      </c>
      <c r="BX143" s="25" t="s">
        <v>80</v>
      </c>
    </row>
    <row r="144" spans="1:76" ht="20.399999999999999" x14ac:dyDescent="0.3">
      <c r="A144" s="60">
        <v>143</v>
      </c>
      <c r="B144" s="60" t="s">
        <v>272</v>
      </c>
      <c r="C144" s="78" t="s">
        <v>283</v>
      </c>
      <c r="D144" s="78" t="s">
        <v>174</v>
      </c>
      <c r="E144" s="59" t="s">
        <v>287</v>
      </c>
      <c r="F144" s="48">
        <v>5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48">
        <v>5</v>
      </c>
      <c r="O144" s="25"/>
      <c r="P144" s="84">
        <v>1</v>
      </c>
      <c r="Q144" s="25"/>
      <c r="R144" s="25"/>
      <c r="S144" s="25"/>
      <c r="T144" s="25"/>
      <c r="U144" s="25"/>
      <c r="V144" s="4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68">
        <v>1</v>
      </c>
      <c r="BC144" s="25"/>
      <c r="BD144" s="25"/>
      <c r="BE144" s="25"/>
      <c r="BF144" s="25"/>
      <c r="BG144" s="48"/>
      <c r="BH144" s="25"/>
      <c r="BI144" s="25"/>
      <c r="BJ144" s="25"/>
      <c r="BK144" s="25"/>
      <c r="BL144" s="25"/>
      <c r="BM144" s="25"/>
      <c r="BN144" s="25">
        <v>1</v>
      </c>
      <c r="BO144" s="25"/>
      <c r="BP144" s="63">
        <f t="shared" si="12"/>
        <v>1</v>
      </c>
      <c r="BQ144" s="63">
        <f t="shared" si="10"/>
        <v>1</v>
      </c>
      <c r="BR144" s="63">
        <f t="shared" si="11"/>
        <v>2</v>
      </c>
      <c r="BS144" s="79" t="s">
        <v>77</v>
      </c>
      <c r="BT144" s="79" t="s">
        <v>77</v>
      </c>
      <c r="BU144" s="87" t="s">
        <v>77</v>
      </c>
      <c r="BV144" s="25" t="s">
        <v>274</v>
      </c>
      <c r="BW144" s="25" t="s">
        <v>79</v>
      </c>
      <c r="BX144" s="25" t="s">
        <v>275</v>
      </c>
    </row>
    <row r="145" spans="1:76" ht="40.799999999999997" x14ac:dyDescent="0.3">
      <c r="A145" s="60">
        <v>144</v>
      </c>
      <c r="B145" s="60" t="s">
        <v>272</v>
      </c>
      <c r="C145" s="78" t="s">
        <v>46</v>
      </c>
      <c r="D145" s="78" t="s">
        <v>199</v>
      </c>
      <c r="E145" s="59" t="s">
        <v>288</v>
      </c>
      <c r="F145" s="48">
        <v>5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48">
        <v>5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84">
        <v>1</v>
      </c>
      <c r="AW145" s="25"/>
      <c r="AX145" s="25"/>
      <c r="AY145" s="25"/>
      <c r="AZ145" s="25"/>
      <c r="BA145" s="25"/>
      <c r="BB145" s="68">
        <v>1</v>
      </c>
      <c r="BC145" s="25"/>
      <c r="BD145" s="25"/>
      <c r="BE145" s="25"/>
      <c r="BF145" s="25"/>
      <c r="BG145" s="48"/>
      <c r="BH145" s="25"/>
      <c r="BI145" s="25"/>
      <c r="BJ145" s="25"/>
      <c r="BK145" s="25"/>
      <c r="BL145" s="25">
        <v>1</v>
      </c>
      <c r="BM145" s="25"/>
      <c r="BN145" s="25"/>
      <c r="BO145" s="25"/>
      <c r="BP145" s="63">
        <f t="shared" si="12"/>
        <v>1</v>
      </c>
      <c r="BQ145" s="63">
        <f t="shared" si="10"/>
        <v>1</v>
      </c>
      <c r="BR145" s="63">
        <f t="shared" si="11"/>
        <v>2</v>
      </c>
      <c r="BS145" s="79" t="s">
        <v>77</v>
      </c>
      <c r="BT145" s="79" t="s">
        <v>77</v>
      </c>
      <c r="BU145" s="87" t="s">
        <v>77</v>
      </c>
      <c r="BV145" s="25" t="s">
        <v>274</v>
      </c>
      <c r="BW145" s="25" t="s">
        <v>79</v>
      </c>
      <c r="BX145" s="25" t="s">
        <v>262</v>
      </c>
    </row>
    <row r="146" spans="1:76" ht="40.799999999999997" x14ac:dyDescent="0.3">
      <c r="A146" s="60">
        <v>145</v>
      </c>
      <c r="B146" s="60" t="s">
        <v>272</v>
      </c>
      <c r="C146" s="78" t="s">
        <v>46</v>
      </c>
      <c r="D146" s="78" t="s">
        <v>199</v>
      </c>
      <c r="E146" s="59" t="s">
        <v>289</v>
      </c>
      <c r="F146" s="48">
        <v>5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0</v>
      </c>
      <c r="N146" s="48">
        <v>5</v>
      </c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84">
        <v>1</v>
      </c>
      <c r="AW146" s="25"/>
      <c r="AX146" s="25"/>
      <c r="AY146" s="25"/>
      <c r="AZ146" s="25"/>
      <c r="BA146" s="25"/>
      <c r="BB146" s="68">
        <v>1</v>
      </c>
      <c r="BC146" s="25"/>
      <c r="BD146" s="25"/>
      <c r="BE146" s="25"/>
      <c r="BF146" s="25"/>
      <c r="BG146" s="48"/>
      <c r="BH146" s="25"/>
      <c r="BI146" s="25"/>
      <c r="BJ146" s="25"/>
      <c r="BK146" s="25"/>
      <c r="BL146" s="25">
        <v>1</v>
      </c>
      <c r="BM146" s="25"/>
      <c r="BN146" s="25"/>
      <c r="BO146" s="25"/>
      <c r="BP146" s="63">
        <f t="shared" si="12"/>
        <v>1</v>
      </c>
      <c r="BQ146" s="63">
        <f t="shared" si="10"/>
        <v>1</v>
      </c>
      <c r="BR146" s="63">
        <f t="shared" si="11"/>
        <v>2</v>
      </c>
      <c r="BS146" s="79" t="s">
        <v>77</v>
      </c>
      <c r="BT146" s="79" t="s">
        <v>77</v>
      </c>
      <c r="BU146" s="87" t="s">
        <v>77</v>
      </c>
      <c r="BV146" s="25" t="s">
        <v>274</v>
      </c>
      <c r="BW146" s="25" t="s">
        <v>79</v>
      </c>
      <c r="BX146" s="25" t="s">
        <v>262</v>
      </c>
    </row>
    <row r="147" spans="1:76" ht="20.399999999999999" x14ac:dyDescent="0.3">
      <c r="A147" s="60">
        <v>146</v>
      </c>
      <c r="B147" s="60" t="s">
        <v>272</v>
      </c>
      <c r="C147" s="78" t="s">
        <v>46</v>
      </c>
      <c r="D147" s="78" t="s">
        <v>199</v>
      </c>
      <c r="E147" s="59" t="s">
        <v>290</v>
      </c>
      <c r="F147" s="48">
        <v>5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48">
        <v>5</v>
      </c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84">
        <v>1</v>
      </c>
      <c r="AW147" s="25"/>
      <c r="AX147" s="25"/>
      <c r="AY147" s="25"/>
      <c r="AZ147" s="25"/>
      <c r="BA147" s="25"/>
      <c r="BB147" s="68">
        <v>1</v>
      </c>
      <c r="BC147" s="25"/>
      <c r="BD147" s="25"/>
      <c r="BE147" s="25"/>
      <c r="BF147" s="25"/>
      <c r="BG147" s="48"/>
      <c r="BH147" s="25"/>
      <c r="BI147" s="25"/>
      <c r="BJ147" s="25"/>
      <c r="BK147" s="25"/>
      <c r="BL147" s="25"/>
      <c r="BM147" s="25"/>
      <c r="BN147" s="25">
        <v>1</v>
      </c>
      <c r="BO147" s="25"/>
      <c r="BP147" s="63">
        <f t="shared" si="12"/>
        <v>1</v>
      </c>
      <c r="BQ147" s="63">
        <f t="shared" si="10"/>
        <v>1</v>
      </c>
      <c r="BR147" s="63">
        <f t="shared" si="11"/>
        <v>2</v>
      </c>
      <c r="BS147" s="79" t="s">
        <v>77</v>
      </c>
      <c r="BT147" s="79" t="s">
        <v>77</v>
      </c>
      <c r="BU147" s="87" t="s">
        <v>77</v>
      </c>
      <c r="BV147" s="25" t="s">
        <v>274</v>
      </c>
      <c r="BW147" s="25" t="s">
        <v>79</v>
      </c>
      <c r="BX147" s="25" t="s">
        <v>262</v>
      </c>
    </row>
    <row r="148" spans="1:76" ht="20.399999999999999" x14ac:dyDescent="0.3">
      <c r="A148" s="60">
        <v>147</v>
      </c>
      <c r="B148" s="60" t="s">
        <v>272</v>
      </c>
      <c r="C148" s="78" t="s">
        <v>46</v>
      </c>
      <c r="D148" s="78" t="s">
        <v>199</v>
      </c>
      <c r="E148" s="59" t="s">
        <v>291</v>
      </c>
      <c r="F148" s="48">
        <v>5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48">
        <v>5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84">
        <v>1</v>
      </c>
      <c r="AW148" s="25"/>
      <c r="AX148" s="25"/>
      <c r="AY148" s="25"/>
      <c r="AZ148" s="25"/>
      <c r="BA148" s="25"/>
      <c r="BB148" s="68">
        <v>1</v>
      </c>
      <c r="BC148" s="25"/>
      <c r="BD148" s="25"/>
      <c r="BE148" s="25"/>
      <c r="BF148" s="25"/>
      <c r="BG148" s="48"/>
      <c r="BH148" s="25"/>
      <c r="BI148" s="25"/>
      <c r="BJ148" s="25"/>
      <c r="BK148" s="25"/>
      <c r="BL148" s="25"/>
      <c r="BM148" s="25"/>
      <c r="BN148" s="25">
        <v>1</v>
      </c>
      <c r="BO148" s="25"/>
      <c r="BP148" s="63">
        <f t="shared" si="12"/>
        <v>1</v>
      </c>
      <c r="BQ148" s="63">
        <f t="shared" si="10"/>
        <v>1</v>
      </c>
      <c r="BR148" s="63">
        <f t="shared" si="11"/>
        <v>2</v>
      </c>
      <c r="BS148" s="79" t="s">
        <v>77</v>
      </c>
      <c r="BT148" s="79" t="s">
        <v>77</v>
      </c>
      <c r="BU148" s="87" t="s">
        <v>77</v>
      </c>
      <c r="BV148" s="25" t="s">
        <v>274</v>
      </c>
      <c r="BW148" s="25" t="s">
        <v>79</v>
      </c>
      <c r="BX148" s="25" t="s">
        <v>262</v>
      </c>
    </row>
    <row r="149" spans="1:76" ht="61.2" x14ac:dyDescent="0.3">
      <c r="A149" s="60">
        <v>148</v>
      </c>
      <c r="B149" s="60" t="s">
        <v>272</v>
      </c>
      <c r="C149" s="78" t="s">
        <v>24</v>
      </c>
      <c r="D149" s="78" t="s">
        <v>226</v>
      </c>
      <c r="E149" s="59" t="s">
        <v>292</v>
      </c>
      <c r="F149" s="48">
        <v>5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48">
        <v>5</v>
      </c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84">
        <v>1</v>
      </c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68">
        <v>1</v>
      </c>
      <c r="BC149" s="25"/>
      <c r="BD149" s="25"/>
      <c r="BE149" s="25"/>
      <c r="BF149" s="25"/>
      <c r="BG149" s="48"/>
      <c r="BH149" s="25"/>
      <c r="BI149" s="25"/>
      <c r="BJ149" s="25"/>
      <c r="BK149" s="25"/>
      <c r="BL149" s="25"/>
      <c r="BM149" s="25"/>
      <c r="BN149" s="48">
        <v>1</v>
      </c>
      <c r="BO149" s="25"/>
      <c r="BP149" s="63">
        <f t="shared" si="12"/>
        <v>1</v>
      </c>
      <c r="BQ149" s="63">
        <f t="shared" si="10"/>
        <v>1</v>
      </c>
      <c r="BR149" s="63">
        <f t="shared" si="11"/>
        <v>2</v>
      </c>
      <c r="BS149" s="79" t="s">
        <v>77</v>
      </c>
      <c r="BT149" s="79" t="s">
        <v>77</v>
      </c>
      <c r="BU149" s="87" t="s">
        <v>77</v>
      </c>
      <c r="BV149" s="25" t="s">
        <v>274</v>
      </c>
      <c r="BW149" s="25" t="s">
        <v>79</v>
      </c>
      <c r="BX149" s="25" t="s">
        <v>176</v>
      </c>
    </row>
    <row r="150" spans="1:76" ht="71.400000000000006" x14ac:dyDescent="0.3">
      <c r="A150" s="60">
        <v>149</v>
      </c>
      <c r="B150" s="60" t="s">
        <v>272</v>
      </c>
      <c r="C150" s="78" t="s">
        <v>24</v>
      </c>
      <c r="D150" s="78" t="s">
        <v>226</v>
      </c>
      <c r="E150" s="59" t="s">
        <v>293</v>
      </c>
      <c r="F150" s="48">
        <v>5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0</v>
      </c>
      <c r="N150" s="48">
        <v>5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84">
        <v>1</v>
      </c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68">
        <v>1</v>
      </c>
      <c r="BC150" s="25"/>
      <c r="BD150" s="25"/>
      <c r="BE150" s="25"/>
      <c r="BF150" s="25"/>
      <c r="BG150" s="48"/>
      <c r="BH150" s="25"/>
      <c r="BI150" s="25"/>
      <c r="BJ150" s="25"/>
      <c r="BK150" s="25"/>
      <c r="BL150" s="25"/>
      <c r="BM150" s="25"/>
      <c r="BN150" s="48">
        <v>1</v>
      </c>
      <c r="BO150" s="25"/>
      <c r="BP150" s="63">
        <f t="shared" si="12"/>
        <v>1</v>
      </c>
      <c r="BQ150" s="63">
        <f t="shared" si="10"/>
        <v>1</v>
      </c>
      <c r="BR150" s="63">
        <f t="shared" si="11"/>
        <v>2</v>
      </c>
      <c r="BS150" s="79" t="s">
        <v>77</v>
      </c>
      <c r="BT150" s="79" t="s">
        <v>77</v>
      </c>
      <c r="BU150" s="87" t="s">
        <v>77</v>
      </c>
      <c r="BV150" s="25" t="s">
        <v>274</v>
      </c>
      <c r="BW150" s="25" t="s">
        <v>79</v>
      </c>
      <c r="BX150" s="25" t="s">
        <v>176</v>
      </c>
    </row>
    <row r="151" spans="1:76" ht="40.799999999999997" x14ac:dyDescent="0.3">
      <c r="A151" s="60">
        <v>150</v>
      </c>
      <c r="B151" s="60" t="s">
        <v>272</v>
      </c>
      <c r="C151" s="78" t="s">
        <v>24</v>
      </c>
      <c r="D151" s="78" t="s">
        <v>226</v>
      </c>
      <c r="E151" s="59" t="s">
        <v>294</v>
      </c>
      <c r="F151" s="48">
        <v>5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48">
        <v>5</v>
      </c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84">
        <v>1</v>
      </c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68">
        <v>1</v>
      </c>
      <c r="BC151" s="25"/>
      <c r="BD151" s="25"/>
      <c r="BE151" s="25"/>
      <c r="BF151" s="25"/>
      <c r="BG151" s="48"/>
      <c r="BH151" s="25"/>
      <c r="BI151" s="25"/>
      <c r="BJ151" s="25"/>
      <c r="BK151" s="25"/>
      <c r="BL151" s="25"/>
      <c r="BM151" s="25"/>
      <c r="BN151" s="48">
        <v>1</v>
      </c>
      <c r="BO151" s="25"/>
      <c r="BP151" s="63">
        <f t="shared" si="12"/>
        <v>1</v>
      </c>
      <c r="BQ151" s="63">
        <f t="shared" si="10"/>
        <v>1</v>
      </c>
      <c r="BR151" s="63">
        <f t="shared" si="11"/>
        <v>2</v>
      </c>
      <c r="BS151" s="79" t="s">
        <v>77</v>
      </c>
      <c r="BT151" s="79" t="s">
        <v>77</v>
      </c>
      <c r="BU151" s="87" t="s">
        <v>77</v>
      </c>
      <c r="BV151" s="25" t="s">
        <v>274</v>
      </c>
      <c r="BW151" s="25" t="s">
        <v>79</v>
      </c>
      <c r="BX151" s="25" t="s">
        <v>176</v>
      </c>
    </row>
    <row r="152" spans="1:76" ht="61.2" x14ac:dyDescent="0.3">
      <c r="A152" s="60">
        <v>151</v>
      </c>
      <c r="B152" s="60" t="s">
        <v>272</v>
      </c>
      <c r="C152" s="78" t="s">
        <v>29</v>
      </c>
      <c r="D152" s="78" t="s">
        <v>226</v>
      </c>
      <c r="E152" s="59" t="s">
        <v>295</v>
      </c>
      <c r="F152" s="48">
        <v>5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0</v>
      </c>
      <c r="M152" s="60">
        <v>0</v>
      </c>
      <c r="N152" s="48">
        <v>5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84">
        <v>3</v>
      </c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68"/>
      <c r="BC152" s="25"/>
      <c r="BD152" s="25"/>
      <c r="BE152" s="25"/>
      <c r="BF152" s="25"/>
      <c r="BG152" s="48">
        <v>3</v>
      </c>
      <c r="BH152" s="25"/>
      <c r="BI152" s="25"/>
      <c r="BJ152" s="25"/>
      <c r="BK152" s="25"/>
      <c r="BL152" s="25"/>
      <c r="BM152" s="25"/>
      <c r="BN152" s="48">
        <v>1</v>
      </c>
      <c r="BO152" s="25"/>
      <c r="BP152" s="63">
        <f t="shared" si="12"/>
        <v>3</v>
      </c>
      <c r="BQ152" s="63">
        <f t="shared" si="10"/>
        <v>1</v>
      </c>
      <c r="BR152" s="63">
        <f t="shared" si="11"/>
        <v>4</v>
      </c>
      <c r="BS152" s="79" t="s">
        <v>77</v>
      </c>
      <c r="BT152" s="79" t="s">
        <v>77</v>
      </c>
      <c r="BU152" s="87" t="s">
        <v>77</v>
      </c>
      <c r="BV152" s="25" t="s">
        <v>274</v>
      </c>
      <c r="BW152" s="25" t="s">
        <v>79</v>
      </c>
      <c r="BX152" s="25" t="s">
        <v>176</v>
      </c>
    </row>
    <row r="153" spans="1:76" ht="30.6" x14ac:dyDescent="0.3">
      <c r="A153" s="60">
        <v>152</v>
      </c>
      <c r="B153" s="60" t="s">
        <v>272</v>
      </c>
      <c r="C153" s="78" t="s">
        <v>29</v>
      </c>
      <c r="D153" s="78" t="s">
        <v>226</v>
      </c>
      <c r="E153" s="88" t="s">
        <v>296</v>
      </c>
      <c r="F153" s="48">
        <v>5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48">
        <v>5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84">
        <v>3</v>
      </c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68"/>
      <c r="BC153" s="25"/>
      <c r="BD153" s="25"/>
      <c r="BE153" s="25"/>
      <c r="BF153" s="25"/>
      <c r="BG153" s="48">
        <v>3</v>
      </c>
      <c r="BH153" s="25"/>
      <c r="BI153" s="25"/>
      <c r="BJ153" s="25"/>
      <c r="BK153" s="25"/>
      <c r="BL153" s="25"/>
      <c r="BM153" s="25"/>
      <c r="BN153" s="48">
        <v>1</v>
      </c>
      <c r="BO153" s="25"/>
      <c r="BP153" s="63">
        <f t="shared" si="12"/>
        <v>3</v>
      </c>
      <c r="BQ153" s="63">
        <f t="shared" si="10"/>
        <v>1</v>
      </c>
      <c r="BR153" s="63">
        <f t="shared" si="11"/>
        <v>4</v>
      </c>
      <c r="BS153" s="79" t="s">
        <v>77</v>
      </c>
      <c r="BT153" s="79" t="s">
        <v>77</v>
      </c>
      <c r="BU153" s="87" t="s">
        <v>77</v>
      </c>
      <c r="BV153" s="25" t="s">
        <v>228</v>
      </c>
      <c r="BW153" s="25" t="s">
        <v>178</v>
      </c>
      <c r="BX153" s="25" t="s">
        <v>297</v>
      </c>
    </row>
    <row r="154" spans="1:76" ht="30.6" x14ac:dyDescent="0.3">
      <c r="A154" s="60">
        <v>153</v>
      </c>
      <c r="B154" s="60" t="s">
        <v>272</v>
      </c>
      <c r="C154" s="78" t="s">
        <v>29</v>
      </c>
      <c r="D154" s="78" t="s">
        <v>226</v>
      </c>
      <c r="E154" s="59" t="s">
        <v>298</v>
      </c>
      <c r="F154" s="48">
        <v>5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48">
        <v>5</v>
      </c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84">
        <v>1</v>
      </c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68">
        <v>1</v>
      </c>
      <c r="BC154" s="25"/>
      <c r="BD154" s="25"/>
      <c r="BE154" s="25"/>
      <c r="BF154" s="25"/>
      <c r="BG154" s="48"/>
      <c r="BH154" s="25"/>
      <c r="BI154" s="25"/>
      <c r="BJ154" s="25"/>
      <c r="BK154" s="25"/>
      <c r="BL154" s="25"/>
      <c r="BM154" s="25"/>
      <c r="BN154" s="48">
        <v>1</v>
      </c>
      <c r="BO154" s="25"/>
      <c r="BP154" s="63">
        <f t="shared" si="12"/>
        <v>1</v>
      </c>
      <c r="BQ154" s="63">
        <f t="shared" si="10"/>
        <v>1</v>
      </c>
      <c r="BR154" s="63">
        <f t="shared" si="11"/>
        <v>2</v>
      </c>
      <c r="BS154" s="79" t="s">
        <v>77</v>
      </c>
      <c r="BT154" s="79" t="s">
        <v>77</v>
      </c>
      <c r="BU154" s="87" t="s">
        <v>77</v>
      </c>
      <c r="BV154" s="25" t="s">
        <v>274</v>
      </c>
      <c r="BW154" s="25" t="s">
        <v>79</v>
      </c>
      <c r="BX154" s="25" t="s">
        <v>176</v>
      </c>
    </row>
    <row r="155" spans="1:76" ht="51" x14ac:dyDescent="0.3">
      <c r="A155" s="60">
        <v>154</v>
      </c>
      <c r="B155" s="60" t="s">
        <v>173</v>
      </c>
      <c r="C155" s="78" t="s">
        <v>29</v>
      </c>
      <c r="D155" s="78" t="s">
        <v>226</v>
      </c>
      <c r="E155" s="88" t="s">
        <v>299</v>
      </c>
      <c r="F155" s="48">
        <v>5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0</v>
      </c>
      <c r="N155" s="48">
        <v>5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84">
        <v>3</v>
      </c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68"/>
      <c r="BC155" s="25"/>
      <c r="BD155" s="25"/>
      <c r="BE155" s="25"/>
      <c r="BF155" s="25"/>
      <c r="BG155" s="48"/>
      <c r="BH155" s="89">
        <v>3</v>
      </c>
      <c r="BI155" s="25"/>
      <c r="BJ155" s="25"/>
      <c r="BK155" s="25"/>
      <c r="BL155" s="25"/>
      <c r="BM155" s="25"/>
      <c r="BN155" s="48">
        <v>1</v>
      </c>
      <c r="BO155" s="25"/>
      <c r="BP155" s="63">
        <f t="shared" si="12"/>
        <v>3</v>
      </c>
      <c r="BQ155" s="63">
        <f t="shared" si="10"/>
        <v>1</v>
      </c>
      <c r="BR155" s="63">
        <f t="shared" si="11"/>
        <v>4</v>
      </c>
      <c r="BS155" s="79" t="s">
        <v>77</v>
      </c>
      <c r="BT155" s="79" t="s">
        <v>77</v>
      </c>
      <c r="BU155" s="87" t="s">
        <v>77</v>
      </c>
      <c r="BV155" s="80" t="s">
        <v>228</v>
      </c>
      <c r="BW155" s="25" t="s">
        <v>178</v>
      </c>
      <c r="BX155" s="25" t="s">
        <v>297</v>
      </c>
    </row>
    <row r="156" spans="1:76" ht="40.799999999999997" x14ac:dyDescent="0.3">
      <c r="A156" s="60">
        <v>155</v>
      </c>
      <c r="B156" s="60" t="s">
        <v>272</v>
      </c>
      <c r="C156" s="78" t="s">
        <v>29</v>
      </c>
      <c r="D156" s="78" t="s">
        <v>226</v>
      </c>
      <c r="E156" s="59" t="s">
        <v>300</v>
      </c>
      <c r="F156" s="48">
        <v>5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0</v>
      </c>
      <c r="N156" s="48">
        <v>5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84">
        <v>1</v>
      </c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68">
        <v>1</v>
      </c>
      <c r="BC156" s="25"/>
      <c r="BD156" s="25"/>
      <c r="BE156" s="25"/>
      <c r="BF156" s="25"/>
      <c r="BG156" s="48"/>
      <c r="BH156" s="25"/>
      <c r="BI156" s="25"/>
      <c r="BJ156" s="25"/>
      <c r="BK156" s="25"/>
      <c r="BL156" s="25"/>
      <c r="BM156" s="25"/>
      <c r="BN156" s="48">
        <v>1</v>
      </c>
      <c r="BO156" s="25"/>
      <c r="BP156" s="63">
        <f t="shared" si="12"/>
        <v>1</v>
      </c>
      <c r="BQ156" s="63">
        <f t="shared" si="10"/>
        <v>1</v>
      </c>
      <c r="BR156" s="63">
        <f t="shared" si="11"/>
        <v>2</v>
      </c>
      <c r="BS156" s="79" t="s">
        <v>77</v>
      </c>
      <c r="BT156" s="79" t="s">
        <v>77</v>
      </c>
      <c r="BU156" s="87" t="s">
        <v>77</v>
      </c>
      <c r="BV156" s="25" t="s">
        <v>274</v>
      </c>
      <c r="BW156" s="25" t="s">
        <v>79</v>
      </c>
      <c r="BX156" s="25" t="s">
        <v>176</v>
      </c>
    </row>
    <row r="157" spans="1:76" ht="51" x14ac:dyDescent="0.3">
      <c r="A157" s="60">
        <v>156</v>
      </c>
      <c r="B157" s="60" t="s">
        <v>272</v>
      </c>
      <c r="C157" s="78" t="s">
        <v>29</v>
      </c>
      <c r="D157" s="78" t="s">
        <v>226</v>
      </c>
      <c r="E157" s="59" t="s">
        <v>301</v>
      </c>
      <c r="F157" s="48">
        <v>5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48">
        <v>5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84">
        <v>3</v>
      </c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68"/>
      <c r="BC157" s="25"/>
      <c r="BD157" s="25"/>
      <c r="BE157" s="25"/>
      <c r="BF157" s="25"/>
      <c r="BG157" s="48">
        <v>3</v>
      </c>
      <c r="BH157" s="25"/>
      <c r="BI157" s="25"/>
      <c r="BJ157" s="25"/>
      <c r="BK157" s="25"/>
      <c r="BL157" s="25"/>
      <c r="BM157" s="25"/>
      <c r="BN157" s="48">
        <v>1</v>
      </c>
      <c r="BO157" s="25"/>
      <c r="BP157" s="63">
        <f t="shared" si="12"/>
        <v>3</v>
      </c>
      <c r="BQ157" s="63">
        <f t="shared" si="10"/>
        <v>1</v>
      </c>
      <c r="BR157" s="63">
        <f t="shared" si="11"/>
        <v>4</v>
      </c>
      <c r="BS157" s="79" t="s">
        <v>77</v>
      </c>
      <c r="BT157" s="79" t="s">
        <v>77</v>
      </c>
      <c r="BU157" s="87" t="s">
        <v>77</v>
      </c>
      <c r="BV157" s="25" t="s">
        <v>274</v>
      </c>
      <c r="BW157" s="25" t="s">
        <v>79</v>
      </c>
      <c r="BX157" s="25" t="s">
        <v>176</v>
      </c>
    </row>
    <row r="158" spans="1:76" ht="40.799999999999997" x14ac:dyDescent="0.3">
      <c r="A158" s="60">
        <v>157</v>
      </c>
      <c r="B158" s="60" t="s">
        <v>272</v>
      </c>
      <c r="C158" s="78" t="s">
        <v>29</v>
      </c>
      <c r="D158" s="78" t="s">
        <v>226</v>
      </c>
      <c r="E158" s="88" t="s">
        <v>302</v>
      </c>
      <c r="F158" s="48">
        <v>5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48">
        <v>5</v>
      </c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84">
        <v>3</v>
      </c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68"/>
      <c r="BC158" s="25"/>
      <c r="BD158" s="25"/>
      <c r="BE158" s="25"/>
      <c r="BF158" s="25"/>
      <c r="BG158" s="48">
        <v>3</v>
      </c>
      <c r="BH158" s="25"/>
      <c r="BI158" s="25"/>
      <c r="BJ158" s="25"/>
      <c r="BK158" s="25"/>
      <c r="BL158" s="25"/>
      <c r="BM158" s="25"/>
      <c r="BN158" s="48">
        <v>1</v>
      </c>
      <c r="BO158" s="25"/>
      <c r="BP158" s="63">
        <f t="shared" si="12"/>
        <v>3</v>
      </c>
      <c r="BQ158" s="63">
        <f t="shared" si="10"/>
        <v>1</v>
      </c>
      <c r="BR158" s="63">
        <f t="shared" si="11"/>
        <v>4</v>
      </c>
      <c r="BS158" s="79" t="s">
        <v>77</v>
      </c>
      <c r="BT158" s="79" t="s">
        <v>77</v>
      </c>
      <c r="BU158" s="87" t="s">
        <v>77</v>
      </c>
      <c r="BV158" s="25" t="s">
        <v>228</v>
      </c>
      <c r="BW158" s="25" t="s">
        <v>178</v>
      </c>
      <c r="BX158" s="25" t="s">
        <v>297</v>
      </c>
    </row>
    <row r="159" spans="1:76" ht="51" x14ac:dyDescent="0.3">
      <c r="A159" s="60">
        <v>158</v>
      </c>
      <c r="B159" s="60" t="s">
        <v>272</v>
      </c>
      <c r="C159" s="78" t="s">
        <v>29</v>
      </c>
      <c r="D159" s="78" t="s">
        <v>226</v>
      </c>
      <c r="E159" s="59" t="s">
        <v>303</v>
      </c>
      <c r="F159" s="48">
        <v>5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48">
        <v>5</v>
      </c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84">
        <v>1</v>
      </c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68">
        <v>1</v>
      </c>
      <c r="BC159" s="25"/>
      <c r="BD159" s="25"/>
      <c r="BE159" s="25"/>
      <c r="BF159" s="25"/>
      <c r="BG159" s="48"/>
      <c r="BH159" s="25"/>
      <c r="BI159" s="25"/>
      <c r="BJ159" s="25"/>
      <c r="BK159" s="25"/>
      <c r="BL159" s="25"/>
      <c r="BM159" s="25"/>
      <c r="BN159" s="48">
        <v>1</v>
      </c>
      <c r="BO159" s="25"/>
      <c r="BP159" s="63">
        <f t="shared" si="12"/>
        <v>1</v>
      </c>
      <c r="BQ159" s="63">
        <f t="shared" si="10"/>
        <v>1</v>
      </c>
      <c r="BR159" s="63">
        <f t="shared" si="11"/>
        <v>2</v>
      </c>
      <c r="BS159" s="79" t="s">
        <v>77</v>
      </c>
      <c r="BT159" s="79" t="s">
        <v>77</v>
      </c>
      <c r="BU159" s="87" t="s">
        <v>77</v>
      </c>
      <c r="BV159" s="25" t="s">
        <v>274</v>
      </c>
      <c r="BW159" s="25" t="s">
        <v>79</v>
      </c>
      <c r="BX159" s="25" t="s">
        <v>176</v>
      </c>
    </row>
    <row r="160" spans="1:76" ht="61.2" x14ac:dyDescent="0.3">
      <c r="A160" s="60">
        <v>159</v>
      </c>
      <c r="B160" s="60" t="s">
        <v>272</v>
      </c>
      <c r="C160" s="78" t="s">
        <v>29</v>
      </c>
      <c r="D160" s="78" t="s">
        <v>226</v>
      </c>
      <c r="E160" s="59" t="s">
        <v>304</v>
      </c>
      <c r="F160" s="48">
        <v>5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48">
        <v>5</v>
      </c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84">
        <v>1</v>
      </c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68">
        <v>1</v>
      </c>
      <c r="BC160" s="25"/>
      <c r="BD160" s="25"/>
      <c r="BE160" s="25"/>
      <c r="BF160" s="25"/>
      <c r="BG160" s="48"/>
      <c r="BH160" s="25"/>
      <c r="BI160" s="25"/>
      <c r="BJ160" s="25"/>
      <c r="BK160" s="25"/>
      <c r="BL160" s="25"/>
      <c r="BM160" s="25"/>
      <c r="BN160" s="48">
        <v>1</v>
      </c>
      <c r="BO160" s="25"/>
      <c r="BP160" s="63">
        <f t="shared" si="12"/>
        <v>1</v>
      </c>
      <c r="BQ160" s="63">
        <f t="shared" si="10"/>
        <v>1</v>
      </c>
      <c r="BR160" s="63">
        <f t="shared" si="11"/>
        <v>2</v>
      </c>
      <c r="BS160" s="79" t="s">
        <v>77</v>
      </c>
      <c r="BT160" s="79" t="s">
        <v>77</v>
      </c>
      <c r="BU160" s="87" t="s">
        <v>77</v>
      </c>
      <c r="BV160" s="25" t="s">
        <v>274</v>
      </c>
      <c r="BW160" s="25" t="s">
        <v>79</v>
      </c>
      <c r="BX160" s="25" t="s">
        <v>176</v>
      </c>
    </row>
    <row r="161" spans="1:76" ht="40.799999999999997" x14ac:dyDescent="0.3">
      <c r="A161" s="60">
        <v>160</v>
      </c>
      <c r="B161" s="60" t="s">
        <v>272</v>
      </c>
      <c r="C161" s="78" t="s">
        <v>29</v>
      </c>
      <c r="D161" s="78" t="s">
        <v>226</v>
      </c>
      <c r="E161" s="59" t="s">
        <v>305</v>
      </c>
      <c r="F161" s="48">
        <v>5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48">
        <v>5</v>
      </c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84">
        <v>1</v>
      </c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68">
        <v>1</v>
      </c>
      <c r="BC161" s="25"/>
      <c r="BD161" s="25"/>
      <c r="BE161" s="25"/>
      <c r="BF161" s="25"/>
      <c r="BG161" s="48"/>
      <c r="BH161" s="25"/>
      <c r="BI161" s="25"/>
      <c r="BJ161" s="25"/>
      <c r="BK161" s="25"/>
      <c r="BL161" s="25"/>
      <c r="BM161" s="25"/>
      <c r="BN161" s="48">
        <v>1</v>
      </c>
      <c r="BO161" s="25"/>
      <c r="BP161" s="63">
        <f t="shared" si="12"/>
        <v>1</v>
      </c>
      <c r="BQ161" s="63">
        <f t="shared" si="10"/>
        <v>1</v>
      </c>
      <c r="BR161" s="63">
        <f t="shared" si="11"/>
        <v>2</v>
      </c>
      <c r="BS161" s="79" t="s">
        <v>77</v>
      </c>
      <c r="BT161" s="79" t="s">
        <v>77</v>
      </c>
      <c r="BU161" s="87" t="s">
        <v>77</v>
      </c>
      <c r="BV161" s="25" t="s">
        <v>274</v>
      </c>
      <c r="BW161" s="25" t="s">
        <v>79</v>
      </c>
      <c r="BX161" s="25" t="s">
        <v>176</v>
      </c>
    </row>
    <row r="162" spans="1:76" ht="40.799999999999997" x14ac:dyDescent="0.3">
      <c r="A162" s="60">
        <v>161</v>
      </c>
      <c r="B162" s="60" t="s">
        <v>272</v>
      </c>
      <c r="C162" s="78" t="s">
        <v>29</v>
      </c>
      <c r="D162" s="78" t="s">
        <v>226</v>
      </c>
      <c r="E162" s="59" t="s">
        <v>306</v>
      </c>
      <c r="F162" s="48">
        <v>5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48">
        <v>5</v>
      </c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84">
        <v>1</v>
      </c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68">
        <v>1</v>
      </c>
      <c r="BC162" s="25"/>
      <c r="BD162" s="25"/>
      <c r="BE162" s="25"/>
      <c r="BF162" s="25"/>
      <c r="BG162" s="48"/>
      <c r="BH162" s="25"/>
      <c r="BI162" s="25"/>
      <c r="BJ162" s="25"/>
      <c r="BK162" s="25"/>
      <c r="BL162" s="25"/>
      <c r="BM162" s="25"/>
      <c r="BN162" s="48">
        <v>1</v>
      </c>
      <c r="BO162" s="25"/>
      <c r="BP162" s="63">
        <f t="shared" si="12"/>
        <v>1</v>
      </c>
      <c r="BQ162" s="63">
        <f t="shared" si="10"/>
        <v>1</v>
      </c>
      <c r="BR162" s="63">
        <f t="shared" si="11"/>
        <v>2</v>
      </c>
      <c r="BS162" s="79" t="s">
        <v>77</v>
      </c>
      <c r="BT162" s="79" t="s">
        <v>77</v>
      </c>
      <c r="BU162" s="87" t="s">
        <v>77</v>
      </c>
      <c r="BV162" s="25" t="s">
        <v>274</v>
      </c>
      <c r="BW162" s="25" t="s">
        <v>79</v>
      </c>
      <c r="BX162" s="25" t="s">
        <v>176</v>
      </c>
    </row>
    <row r="163" spans="1:76" ht="51" x14ac:dyDescent="0.3">
      <c r="A163" s="60">
        <v>162</v>
      </c>
      <c r="B163" s="60" t="s">
        <v>272</v>
      </c>
      <c r="C163" s="78" t="s">
        <v>29</v>
      </c>
      <c r="D163" s="78" t="s">
        <v>226</v>
      </c>
      <c r="E163" s="59" t="s">
        <v>307</v>
      </c>
      <c r="F163" s="48">
        <v>5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48">
        <v>5</v>
      </c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84">
        <v>1</v>
      </c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68">
        <v>1</v>
      </c>
      <c r="BC163" s="25"/>
      <c r="BD163" s="25"/>
      <c r="BE163" s="25"/>
      <c r="BF163" s="25"/>
      <c r="BG163" s="48"/>
      <c r="BH163" s="25"/>
      <c r="BI163" s="25"/>
      <c r="BJ163" s="25"/>
      <c r="BK163" s="25"/>
      <c r="BL163" s="25"/>
      <c r="BM163" s="25"/>
      <c r="BN163" s="48">
        <v>1</v>
      </c>
      <c r="BO163" s="25"/>
      <c r="BP163" s="63">
        <f t="shared" si="12"/>
        <v>1</v>
      </c>
      <c r="BQ163" s="63">
        <f t="shared" si="10"/>
        <v>1</v>
      </c>
      <c r="BR163" s="63">
        <f t="shared" si="11"/>
        <v>2</v>
      </c>
      <c r="BS163" s="79" t="s">
        <v>77</v>
      </c>
      <c r="BT163" s="79" t="s">
        <v>77</v>
      </c>
      <c r="BU163" s="87" t="s">
        <v>77</v>
      </c>
      <c r="BV163" s="25" t="s">
        <v>274</v>
      </c>
      <c r="BW163" s="25" t="s">
        <v>79</v>
      </c>
      <c r="BX163" s="25" t="s">
        <v>176</v>
      </c>
    </row>
    <row r="164" spans="1:76" ht="51" x14ac:dyDescent="0.3">
      <c r="A164" s="60">
        <v>163</v>
      </c>
      <c r="B164" s="60" t="s">
        <v>272</v>
      </c>
      <c r="C164" s="78" t="s">
        <v>29</v>
      </c>
      <c r="D164" s="78" t="s">
        <v>226</v>
      </c>
      <c r="E164" s="59" t="s">
        <v>308</v>
      </c>
      <c r="F164" s="48">
        <v>5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48">
        <v>5</v>
      </c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84">
        <v>1</v>
      </c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68">
        <v>1</v>
      </c>
      <c r="BC164" s="25"/>
      <c r="BD164" s="25"/>
      <c r="BE164" s="25"/>
      <c r="BF164" s="25"/>
      <c r="BG164" s="48"/>
      <c r="BH164" s="25"/>
      <c r="BI164" s="25"/>
      <c r="BJ164" s="25"/>
      <c r="BK164" s="25"/>
      <c r="BL164" s="25"/>
      <c r="BM164" s="25"/>
      <c r="BN164" s="48">
        <v>1</v>
      </c>
      <c r="BO164" s="25"/>
      <c r="BP164" s="63">
        <f t="shared" si="12"/>
        <v>1</v>
      </c>
      <c r="BQ164" s="63">
        <f t="shared" si="10"/>
        <v>1</v>
      </c>
      <c r="BR164" s="63">
        <f t="shared" si="11"/>
        <v>2</v>
      </c>
      <c r="BS164" s="79" t="s">
        <v>77</v>
      </c>
      <c r="BT164" s="79" t="s">
        <v>77</v>
      </c>
      <c r="BU164" s="87" t="s">
        <v>77</v>
      </c>
      <c r="BV164" s="25" t="s">
        <v>274</v>
      </c>
      <c r="BW164" s="25" t="s">
        <v>79</v>
      </c>
      <c r="BX164" s="25" t="s">
        <v>176</v>
      </c>
    </row>
    <row r="165" spans="1:76" ht="61.2" x14ac:dyDescent="0.3">
      <c r="A165" s="60">
        <v>164</v>
      </c>
      <c r="B165" s="60" t="s">
        <v>272</v>
      </c>
      <c r="C165" s="78" t="s">
        <v>29</v>
      </c>
      <c r="D165" s="78" t="s">
        <v>226</v>
      </c>
      <c r="E165" s="59" t="s">
        <v>309</v>
      </c>
      <c r="F165" s="48">
        <v>5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48">
        <v>5</v>
      </c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84">
        <v>1</v>
      </c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68">
        <v>1</v>
      </c>
      <c r="BC165" s="25"/>
      <c r="BD165" s="25"/>
      <c r="BE165" s="25"/>
      <c r="BF165" s="25"/>
      <c r="BG165" s="48"/>
      <c r="BH165" s="25"/>
      <c r="BI165" s="25"/>
      <c r="BJ165" s="25"/>
      <c r="BK165" s="25"/>
      <c r="BL165" s="25"/>
      <c r="BM165" s="25"/>
      <c r="BN165" s="48">
        <v>1</v>
      </c>
      <c r="BO165" s="25"/>
      <c r="BP165" s="63">
        <f t="shared" si="12"/>
        <v>1</v>
      </c>
      <c r="BQ165" s="63">
        <f t="shared" si="10"/>
        <v>1</v>
      </c>
      <c r="BR165" s="63">
        <f t="shared" si="11"/>
        <v>2</v>
      </c>
      <c r="BS165" s="79" t="s">
        <v>77</v>
      </c>
      <c r="BT165" s="79" t="s">
        <v>77</v>
      </c>
      <c r="BU165" s="87" t="s">
        <v>77</v>
      </c>
      <c r="BV165" s="25" t="s">
        <v>274</v>
      </c>
      <c r="BW165" s="25" t="s">
        <v>79</v>
      </c>
      <c r="BX165" s="25" t="s">
        <v>176</v>
      </c>
    </row>
    <row r="166" spans="1:76" ht="51" x14ac:dyDescent="0.3">
      <c r="A166" s="60">
        <v>165</v>
      </c>
      <c r="B166" s="60" t="s">
        <v>272</v>
      </c>
      <c r="C166" s="78" t="s">
        <v>29</v>
      </c>
      <c r="D166" s="78" t="s">
        <v>226</v>
      </c>
      <c r="E166" s="59" t="s">
        <v>310</v>
      </c>
      <c r="F166" s="48">
        <v>5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48">
        <v>5</v>
      </c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84">
        <v>1</v>
      </c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68">
        <v>1</v>
      </c>
      <c r="BC166" s="25"/>
      <c r="BD166" s="25"/>
      <c r="BE166" s="25"/>
      <c r="BF166" s="25"/>
      <c r="BG166" s="48"/>
      <c r="BH166" s="25"/>
      <c r="BI166" s="25"/>
      <c r="BJ166" s="25"/>
      <c r="BK166" s="25"/>
      <c r="BL166" s="25"/>
      <c r="BM166" s="25"/>
      <c r="BN166" s="48">
        <v>1</v>
      </c>
      <c r="BO166" s="25"/>
      <c r="BP166" s="63">
        <f t="shared" si="12"/>
        <v>1</v>
      </c>
      <c r="BQ166" s="63">
        <f t="shared" si="10"/>
        <v>1</v>
      </c>
      <c r="BR166" s="63">
        <f t="shared" si="11"/>
        <v>2</v>
      </c>
      <c r="BS166" s="79" t="s">
        <v>77</v>
      </c>
      <c r="BT166" s="79" t="s">
        <v>77</v>
      </c>
      <c r="BU166" s="87" t="s">
        <v>77</v>
      </c>
      <c r="BV166" s="25" t="s">
        <v>274</v>
      </c>
      <c r="BW166" s="25" t="s">
        <v>79</v>
      </c>
      <c r="BX166" s="25" t="s">
        <v>176</v>
      </c>
    </row>
    <row r="167" spans="1:76" ht="61.2" x14ac:dyDescent="0.3">
      <c r="A167" s="60">
        <v>166</v>
      </c>
      <c r="B167" s="60" t="s">
        <v>272</v>
      </c>
      <c r="C167" s="78" t="s">
        <v>29</v>
      </c>
      <c r="D167" s="78" t="s">
        <v>226</v>
      </c>
      <c r="E167" s="59" t="s">
        <v>311</v>
      </c>
      <c r="F167" s="48">
        <v>5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48">
        <v>5</v>
      </c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84">
        <v>1</v>
      </c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68">
        <v>1</v>
      </c>
      <c r="BC167" s="25"/>
      <c r="BD167" s="25"/>
      <c r="BE167" s="25"/>
      <c r="BF167" s="25"/>
      <c r="BG167" s="48"/>
      <c r="BH167" s="25"/>
      <c r="BI167" s="25"/>
      <c r="BJ167" s="25"/>
      <c r="BK167" s="25"/>
      <c r="BL167" s="25"/>
      <c r="BM167" s="25"/>
      <c r="BN167" s="48">
        <v>1</v>
      </c>
      <c r="BO167" s="25"/>
      <c r="BP167" s="63">
        <f t="shared" si="12"/>
        <v>1</v>
      </c>
      <c r="BQ167" s="63">
        <f t="shared" si="10"/>
        <v>1</v>
      </c>
      <c r="BR167" s="63">
        <f t="shared" si="11"/>
        <v>2</v>
      </c>
      <c r="BS167" s="79" t="s">
        <v>77</v>
      </c>
      <c r="BT167" s="79" t="s">
        <v>77</v>
      </c>
      <c r="BU167" s="87" t="s">
        <v>77</v>
      </c>
      <c r="BV167" s="25" t="s">
        <v>274</v>
      </c>
      <c r="BW167" s="25" t="s">
        <v>79</v>
      </c>
      <c r="BX167" s="25" t="s">
        <v>176</v>
      </c>
    </row>
    <row r="168" spans="1:76" ht="40.799999999999997" x14ac:dyDescent="0.3">
      <c r="A168" s="60">
        <v>167</v>
      </c>
      <c r="B168" s="60" t="s">
        <v>272</v>
      </c>
      <c r="C168" s="78" t="s">
        <v>29</v>
      </c>
      <c r="D168" s="78" t="s">
        <v>226</v>
      </c>
      <c r="E168" s="59" t="s">
        <v>312</v>
      </c>
      <c r="F168" s="48">
        <v>5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48">
        <v>5</v>
      </c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84">
        <v>1</v>
      </c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68">
        <v>1</v>
      </c>
      <c r="BC168" s="25"/>
      <c r="BD168" s="25"/>
      <c r="BE168" s="25"/>
      <c r="BF168" s="25"/>
      <c r="BG168" s="48"/>
      <c r="BH168" s="25"/>
      <c r="BI168" s="25"/>
      <c r="BJ168" s="25"/>
      <c r="BK168" s="25"/>
      <c r="BL168" s="25"/>
      <c r="BM168" s="25"/>
      <c r="BN168" s="48">
        <v>1</v>
      </c>
      <c r="BO168" s="25"/>
      <c r="BP168" s="63">
        <f t="shared" si="12"/>
        <v>1</v>
      </c>
      <c r="BQ168" s="63">
        <f t="shared" si="10"/>
        <v>1</v>
      </c>
      <c r="BR168" s="63">
        <f t="shared" si="11"/>
        <v>2</v>
      </c>
      <c r="BS168" s="79" t="s">
        <v>77</v>
      </c>
      <c r="BT168" s="79" t="s">
        <v>77</v>
      </c>
      <c r="BU168" s="87" t="s">
        <v>77</v>
      </c>
      <c r="BV168" s="25" t="s">
        <v>274</v>
      </c>
      <c r="BW168" s="25" t="s">
        <v>79</v>
      </c>
      <c r="BX168" s="25" t="s">
        <v>176</v>
      </c>
    </row>
    <row r="169" spans="1:76" ht="61.2" x14ac:dyDescent="0.3">
      <c r="A169" s="60">
        <v>168</v>
      </c>
      <c r="B169" s="60" t="s">
        <v>272</v>
      </c>
      <c r="C169" s="78" t="s">
        <v>29</v>
      </c>
      <c r="D169" s="78" t="s">
        <v>226</v>
      </c>
      <c r="E169" s="59" t="s">
        <v>313</v>
      </c>
      <c r="F169" s="48">
        <v>5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48">
        <v>5</v>
      </c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84">
        <v>1</v>
      </c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68">
        <v>1</v>
      </c>
      <c r="BC169" s="25"/>
      <c r="BD169" s="25"/>
      <c r="BE169" s="25"/>
      <c r="BF169" s="25"/>
      <c r="BG169" s="48"/>
      <c r="BH169" s="25"/>
      <c r="BI169" s="25"/>
      <c r="BJ169" s="25"/>
      <c r="BK169" s="25"/>
      <c r="BL169" s="25"/>
      <c r="BM169" s="25"/>
      <c r="BN169" s="48">
        <v>1</v>
      </c>
      <c r="BO169" s="25"/>
      <c r="BP169" s="63">
        <f t="shared" si="12"/>
        <v>1</v>
      </c>
      <c r="BQ169" s="63">
        <f t="shared" si="10"/>
        <v>1</v>
      </c>
      <c r="BR169" s="63">
        <f t="shared" si="11"/>
        <v>2</v>
      </c>
      <c r="BS169" s="79" t="s">
        <v>77</v>
      </c>
      <c r="BT169" s="79" t="s">
        <v>77</v>
      </c>
      <c r="BU169" s="87" t="s">
        <v>77</v>
      </c>
      <c r="BV169" s="25" t="s">
        <v>274</v>
      </c>
      <c r="BW169" s="25" t="s">
        <v>79</v>
      </c>
      <c r="BX169" s="25" t="s">
        <v>176</v>
      </c>
    </row>
    <row r="170" spans="1:76" ht="40.799999999999997" x14ac:dyDescent="0.3">
      <c r="A170" s="60">
        <v>169</v>
      </c>
      <c r="B170" s="60" t="s">
        <v>272</v>
      </c>
      <c r="C170" s="78" t="s">
        <v>30</v>
      </c>
      <c r="D170" s="78" t="s">
        <v>226</v>
      </c>
      <c r="E170" s="59" t="s">
        <v>314</v>
      </c>
      <c r="F170" s="48">
        <v>5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48">
        <v>5</v>
      </c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84">
        <v>3</v>
      </c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68"/>
      <c r="BC170" s="25"/>
      <c r="BD170" s="25"/>
      <c r="BE170" s="25"/>
      <c r="BF170" s="25"/>
      <c r="BG170" s="48">
        <v>3</v>
      </c>
      <c r="BH170" s="25"/>
      <c r="BI170" s="25"/>
      <c r="BJ170" s="25"/>
      <c r="BK170" s="25"/>
      <c r="BL170" s="25"/>
      <c r="BM170" s="25"/>
      <c r="BN170" s="48">
        <v>1</v>
      </c>
      <c r="BO170" s="25"/>
      <c r="BP170" s="63">
        <f t="shared" si="12"/>
        <v>3</v>
      </c>
      <c r="BQ170" s="63">
        <f t="shared" si="10"/>
        <v>1</v>
      </c>
      <c r="BR170" s="63">
        <f t="shared" si="11"/>
        <v>4</v>
      </c>
      <c r="BS170" s="79" t="s">
        <v>77</v>
      </c>
      <c r="BT170" s="79" t="s">
        <v>77</v>
      </c>
      <c r="BU170" s="87" t="s">
        <v>77</v>
      </c>
      <c r="BV170" s="25" t="s">
        <v>274</v>
      </c>
      <c r="BW170" s="25" t="s">
        <v>79</v>
      </c>
      <c r="BX170" s="25" t="s">
        <v>176</v>
      </c>
    </row>
    <row r="171" spans="1:76" ht="40.799999999999997" x14ac:dyDescent="0.3">
      <c r="A171" s="60">
        <v>170</v>
      </c>
      <c r="B171" s="60" t="s">
        <v>272</v>
      </c>
      <c r="C171" s="78" t="s">
        <v>30</v>
      </c>
      <c r="D171" s="78" t="s">
        <v>226</v>
      </c>
      <c r="E171" s="59" t="s">
        <v>315</v>
      </c>
      <c r="F171" s="48">
        <v>5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48">
        <v>5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84">
        <v>3</v>
      </c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68"/>
      <c r="BC171" s="25"/>
      <c r="BD171" s="25"/>
      <c r="BE171" s="25"/>
      <c r="BF171" s="25"/>
      <c r="BG171" s="48">
        <v>3</v>
      </c>
      <c r="BH171" s="25"/>
      <c r="BI171" s="25"/>
      <c r="BJ171" s="25"/>
      <c r="BK171" s="25"/>
      <c r="BL171" s="25"/>
      <c r="BM171" s="25"/>
      <c r="BN171" s="48">
        <v>1</v>
      </c>
      <c r="BO171" s="25"/>
      <c r="BP171" s="63">
        <f t="shared" si="12"/>
        <v>3</v>
      </c>
      <c r="BQ171" s="63">
        <f t="shared" si="10"/>
        <v>1</v>
      </c>
      <c r="BR171" s="63">
        <f t="shared" si="11"/>
        <v>4</v>
      </c>
      <c r="BS171" s="79" t="s">
        <v>77</v>
      </c>
      <c r="BT171" s="79" t="s">
        <v>77</v>
      </c>
      <c r="BU171" s="87" t="s">
        <v>77</v>
      </c>
      <c r="BV171" s="25" t="s">
        <v>274</v>
      </c>
      <c r="BW171" s="25" t="s">
        <v>79</v>
      </c>
      <c r="BX171" s="25" t="s">
        <v>176</v>
      </c>
    </row>
    <row r="172" spans="1:76" ht="51" x14ac:dyDescent="0.3">
      <c r="A172" s="60">
        <v>171</v>
      </c>
      <c r="B172" s="60" t="s">
        <v>272</v>
      </c>
      <c r="C172" s="78" t="s">
        <v>30</v>
      </c>
      <c r="D172" s="78" t="s">
        <v>226</v>
      </c>
      <c r="E172" s="59" t="s">
        <v>316</v>
      </c>
      <c r="F172" s="48">
        <v>5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48">
        <v>5</v>
      </c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84">
        <v>1</v>
      </c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68">
        <v>1</v>
      </c>
      <c r="BC172" s="25"/>
      <c r="BD172" s="25"/>
      <c r="BE172" s="25"/>
      <c r="BF172" s="25"/>
      <c r="BG172" s="48"/>
      <c r="BH172" s="25"/>
      <c r="BI172" s="25"/>
      <c r="BJ172" s="25"/>
      <c r="BK172" s="25"/>
      <c r="BL172" s="25"/>
      <c r="BM172" s="25"/>
      <c r="BN172" s="48">
        <v>1</v>
      </c>
      <c r="BO172" s="25"/>
      <c r="BP172" s="63">
        <f t="shared" si="12"/>
        <v>1</v>
      </c>
      <c r="BQ172" s="63">
        <f t="shared" si="10"/>
        <v>1</v>
      </c>
      <c r="BR172" s="63">
        <f t="shared" si="11"/>
        <v>2</v>
      </c>
      <c r="BS172" s="79" t="s">
        <v>77</v>
      </c>
      <c r="BT172" s="79" t="s">
        <v>77</v>
      </c>
      <c r="BU172" s="87" t="s">
        <v>77</v>
      </c>
      <c r="BV172" s="25" t="s">
        <v>274</v>
      </c>
      <c r="BW172" s="25" t="s">
        <v>79</v>
      </c>
      <c r="BX172" s="25" t="s">
        <v>176</v>
      </c>
    </row>
    <row r="173" spans="1:76" ht="40.799999999999997" x14ac:dyDescent="0.3">
      <c r="A173" s="60">
        <v>172</v>
      </c>
      <c r="B173" s="60" t="s">
        <v>272</v>
      </c>
      <c r="C173" s="78" t="s">
        <v>26</v>
      </c>
      <c r="D173" s="78" t="s">
        <v>226</v>
      </c>
      <c r="E173" s="59" t="s">
        <v>317</v>
      </c>
      <c r="F173" s="48">
        <v>5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48">
        <v>5</v>
      </c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84">
        <v>1</v>
      </c>
      <c r="AC173" s="25">
        <v>3</v>
      </c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68">
        <v>1</v>
      </c>
      <c r="BC173" s="25"/>
      <c r="BD173" s="25"/>
      <c r="BE173" s="25"/>
      <c r="BF173" s="25"/>
      <c r="BG173" s="48">
        <v>3</v>
      </c>
      <c r="BH173" s="25"/>
      <c r="BI173" s="25"/>
      <c r="BJ173" s="25"/>
      <c r="BK173" s="25"/>
      <c r="BL173" s="25"/>
      <c r="BM173" s="25"/>
      <c r="BN173" s="48">
        <v>1</v>
      </c>
      <c r="BO173" s="25"/>
      <c r="BP173" s="63">
        <f t="shared" si="12"/>
        <v>4</v>
      </c>
      <c r="BQ173" s="63">
        <f t="shared" si="10"/>
        <v>1</v>
      </c>
      <c r="BR173" s="63">
        <f t="shared" si="11"/>
        <v>5</v>
      </c>
      <c r="BS173" s="79" t="s">
        <v>77</v>
      </c>
      <c r="BT173" s="79" t="s">
        <v>77</v>
      </c>
      <c r="BU173" s="72" t="s">
        <v>78</v>
      </c>
      <c r="BV173" s="25"/>
      <c r="BW173" s="25" t="s">
        <v>79</v>
      </c>
      <c r="BX173" s="25" t="s">
        <v>80</v>
      </c>
    </row>
    <row r="174" spans="1:76" ht="30.6" x14ac:dyDescent="0.3">
      <c r="A174" s="60">
        <v>173</v>
      </c>
      <c r="B174" s="60" t="s">
        <v>272</v>
      </c>
      <c r="C174" s="78" t="s">
        <v>26</v>
      </c>
      <c r="D174" s="78" t="s">
        <v>226</v>
      </c>
      <c r="E174" s="59" t="s">
        <v>318</v>
      </c>
      <c r="F174" s="48">
        <v>5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48">
        <v>5</v>
      </c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84">
        <v>1</v>
      </c>
      <c r="AC174" s="25">
        <v>3</v>
      </c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68">
        <v>1</v>
      </c>
      <c r="BC174" s="25"/>
      <c r="BD174" s="25"/>
      <c r="BE174" s="25"/>
      <c r="BF174" s="25"/>
      <c r="BG174" s="48">
        <v>3</v>
      </c>
      <c r="BH174" s="25"/>
      <c r="BI174" s="25"/>
      <c r="BJ174" s="25"/>
      <c r="BK174" s="25"/>
      <c r="BL174" s="25"/>
      <c r="BM174" s="25"/>
      <c r="BN174" s="48">
        <v>1</v>
      </c>
      <c r="BO174" s="25"/>
      <c r="BP174" s="63">
        <f t="shared" si="12"/>
        <v>4</v>
      </c>
      <c r="BQ174" s="63">
        <f t="shared" si="10"/>
        <v>1</v>
      </c>
      <c r="BR174" s="63">
        <f t="shared" si="11"/>
        <v>5</v>
      </c>
      <c r="BS174" s="79" t="s">
        <v>77</v>
      </c>
      <c r="BT174" s="79" t="s">
        <v>77</v>
      </c>
      <c r="BU174" s="72" t="s">
        <v>78</v>
      </c>
      <c r="BV174" s="25"/>
      <c r="BW174" s="25" t="s">
        <v>79</v>
      </c>
      <c r="BX174" s="25" t="s">
        <v>80</v>
      </c>
    </row>
    <row r="175" spans="1:76" ht="30.6" x14ac:dyDescent="0.3">
      <c r="A175" s="60">
        <v>174</v>
      </c>
      <c r="B175" s="60" t="s">
        <v>272</v>
      </c>
      <c r="C175" s="78" t="s">
        <v>26</v>
      </c>
      <c r="D175" s="78" t="s">
        <v>226</v>
      </c>
      <c r="E175" s="59" t="s">
        <v>319</v>
      </c>
      <c r="F175" s="48">
        <v>5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48">
        <v>5</v>
      </c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84">
        <v>1</v>
      </c>
      <c r="AC175" s="25"/>
      <c r="AD175" s="25"/>
      <c r="AE175" s="25"/>
      <c r="AF175" s="25"/>
      <c r="AG175" s="25"/>
      <c r="AH175" s="25"/>
      <c r="AI175" s="25"/>
      <c r="AJ175" s="25">
        <v>3</v>
      </c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68">
        <v>1</v>
      </c>
      <c r="BC175" s="25"/>
      <c r="BD175" s="25"/>
      <c r="BE175" s="25"/>
      <c r="BF175" s="25"/>
      <c r="BG175" s="48">
        <v>3</v>
      </c>
      <c r="BH175" s="25"/>
      <c r="BI175" s="25"/>
      <c r="BJ175" s="25"/>
      <c r="BK175" s="25"/>
      <c r="BL175" s="25"/>
      <c r="BM175" s="25"/>
      <c r="BN175" s="48">
        <v>1</v>
      </c>
      <c r="BO175" s="25"/>
      <c r="BP175" s="63">
        <f t="shared" si="12"/>
        <v>4</v>
      </c>
      <c r="BQ175" s="63">
        <f t="shared" si="10"/>
        <v>1</v>
      </c>
      <c r="BR175" s="63">
        <f t="shared" si="11"/>
        <v>5</v>
      </c>
      <c r="BS175" s="79" t="s">
        <v>77</v>
      </c>
      <c r="BT175" s="79" t="s">
        <v>77</v>
      </c>
      <c r="BU175" s="72" t="s">
        <v>78</v>
      </c>
      <c r="BV175" s="25"/>
      <c r="BW175" s="25" t="s">
        <v>79</v>
      </c>
      <c r="BX175" s="25" t="s">
        <v>80</v>
      </c>
    </row>
    <row r="176" spans="1:76" ht="30.6" x14ac:dyDescent="0.3">
      <c r="A176" s="60">
        <v>175</v>
      </c>
      <c r="B176" s="60" t="s">
        <v>272</v>
      </c>
      <c r="C176" s="78" t="s">
        <v>26</v>
      </c>
      <c r="D176" s="78" t="s">
        <v>226</v>
      </c>
      <c r="E176" s="59" t="s">
        <v>320</v>
      </c>
      <c r="F176" s="48">
        <v>5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48">
        <v>5</v>
      </c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84">
        <v>1</v>
      </c>
      <c r="AC176" s="25"/>
      <c r="AD176" s="25"/>
      <c r="AE176" s="25"/>
      <c r="AF176" s="25"/>
      <c r="AG176" s="25"/>
      <c r="AH176" s="25"/>
      <c r="AI176" s="25"/>
      <c r="AJ176" s="25">
        <v>3</v>
      </c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68">
        <v>1</v>
      </c>
      <c r="BC176" s="25"/>
      <c r="BD176" s="25"/>
      <c r="BE176" s="25"/>
      <c r="BF176" s="25"/>
      <c r="BG176" s="48">
        <v>3</v>
      </c>
      <c r="BH176" s="25"/>
      <c r="BI176" s="25"/>
      <c r="BJ176" s="25"/>
      <c r="BK176" s="25"/>
      <c r="BL176" s="25"/>
      <c r="BM176" s="25"/>
      <c r="BN176" s="48">
        <v>1</v>
      </c>
      <c r="BO176" s="25"/>
      <c r="BP176" s="63">
        <f t="shared" si="12"/>
        <v>4</v>
      </c>
      <c r="BQ176" s="63">
        <f t="shared" si="10"/>
        <v>1</v>
      </c>
      <c r="BR176" s="63">
        <f t="shared" si="11"/>
        <v>5</v>
      </c>
      <c r="BS176" s="79" t="s">
        <v>77</v>
      </c>
      <c r="BT176" s="79" t="s">
        <v>77</v>
      </c>
      <c r="BU176" s="72" t="s">
        <v>78</v>
      </c>
      <c r="BV176" s="25"/>
      <c r="BW176" s="25" t="s">
        <v>79</v>
      </c>
      <c r="BX176" s="25" t="s">
        <v>80</v>
      </c>
    </row>
    <row r="177" spans="1:76" ht="30.6" x14ac:dyDescent="0.3">
      <c r="A177" s="60">
        <v>176</v>
      </c>
      <c r="B177" s="60" t="s">
        <v>272</v>
      </c>
      <c r="C177" s="78" t="s">
        <v>26</v>
      </c>
      <c r="D177" s="78" t="s">
        <v>226</v>
      </c>
      <c r="E177" s="59" t="s">
        <v>321</v>
      </c>
      <c r="F177" s="48">
        <v>5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48">
        <v>5</v>
      </c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84">
        <v>1</v>
      </c>
      <c r="AC177" s="25"/>
      <c r="AD177" s="25"/>
      <c r="AE177" s="25">
        <v>3</v>
      </c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68">
        <v>1</v>
      </c>
      <c r="BC177" s="25"/>
      <c r="BD177" s="25"/>
      <c r="BE177" s="25"/>
      <c r="BF177" s="25"/>
      <c r="BG177" s="48">
        <v>3</v>
      </c>
      <c r="BH177" s="25"/>
      <c r="BI177" s="25"/>
      <c r="BJ177" s="25"/>
      <c r="BK177" s="25"/>
      <c r="BL177" s="25"/>
      <c r="BM177" s="25"/>
      <c r="BN177" s="48">
        <v>1</v>
      </c>
      <c r="BO177" s="25"/>
      <c r="BP177" s="63">
        <f t="shared" si="12"/>
        <v>4</v>
      </c>
      <c r="BQ177" s="63">
        <f t="shared" si="10"/>
        <v>1</v>
      </c>
      <c r="BR177" s="63">
        <f t="shared" si="11"/>
        <v>5</v>
      </c>
      <c r="BS177" s="79" t="s">
        <v>77</v>
      </c>
      <c r="BT177" s="79" t="s">
        <v>77</v>
      </c>
      <c r="BU177" s="72" t="s">
        <v>78</v>
      </c>
      <c r="BV177" s="25"/>
      <c r="BW177" s="25" t="s">
        <v>79</v>
      </c>
      <c r="BX177" s="25" t="s">
        <v>80</v>
      </c>
    </row>
    <row r="178" spans="1:76" ht="40.799999999999997" x14ac:dyDescent="0.3">
      <c r="A178" s="60">
        <v>177</v>
      </c>
      <c r="B178" s="60" t="s">
        <v>272</v>
      </c>
      <c r="C178" s="78" t="s">
        <v>29</v>
      </c>
      <c r="D178" s="78" t="s">
        <v>226</v>
      </c>
      <c r="E178" s="59" t="s">
        <v>322</v>
      </c>
      <c r="F178" s="48">
        <v>5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48">
        <v>5</v>
      </c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84">
        <v>1</v>
      </c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68">
        <v>1</v>
      </c>
      <c r="BC178" s="25"/>
      <c r="BD178" s="25"/>
      <c r="BE178" s="25"/>
      <c r="BF178" s="25"/>
      <c r="BG178" s="48"/>
      <c r="BH178" s="25"/>
      <c r="BI178" s="25"/>
      <c r="BJ178" s="25"/>
      <c r="BK178" s="25"/>
      <c r="BL178" s="25"/>
      <c r="BM178" s="25"/>
      <c r="BN178" s="48">
        <v>1</v>
      </c>
      <c r="BO178" s="25"/>
      <c r="BP178" s="63">
        <f t="shared" si="12"/>
        <v>1</v>
      </c>
      <c r="BQ178" s="63">
        <f t="shared" si="10"/>
        <v>1</v>
      </c>
      <c r="BR178" s="63">
        <f t="shared" si="11"/>
        <v>2</v>
      </c>
      <c r="BS178" s="79" t="s">
        <v>77</v>
      </c>
      <c r="BT178" s="79" t="s">
        <v>77</v>
      </c>
      <c r="BU178" s="87" t="s">
        <v>77</v>
      </c>
      <c r="BV178" s="25" t="s">
        <v>274</v>
      </c>
      <c r="BW178" s="25" t="s">
        <v>79</v>
      </c>
      <c r="BX178" s="25" t="s">
        <v>176</v>
      </c>
    </row>
    <row r="179" spans="1:76" ht="30.6" x14ac:dyDescent="0.3">
      <c r="A179" s="60">
        <v>178</v>
      </c>
      <c r="B179" s="60" t="s">
        <v>272</v>
      </c>
      <c r="C179" s="90" t="s">
        <v>27</v>
      </c>
      <c r="D179" s="78" t="s">
        <v>226</v>
      </c>
      <c r="E179" s="59" t="s">
        <v>323</v>
      </c>
      <c r="F179" s="48">
        <v>5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48">
        <v>5</v>
      </c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84">
        <v>1</v>
      </c>
      <c r="AD179" s="25">
        <v>3</v>
      </c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68">
        <v>1</v>
      </c>
      <c r="BC179" s="25"/>
      <c r="BD179" s="25"/>
      <c r="BE179" s="25"/>
      <c r="BF179" s="25"/>
      <c r="BG179" s="48">
        <v>3</v>
      </c>
      <c r="BH179" s="25"/>
      <c r="BI179" s="25"/>
      <c r="BJ179" s="25"/>
      <c r="BK179" s="25"/>
      <c r="BL179" s="25"/>
      <c r="BM179" s="25"/>
      <c r="BN179" s="48">
        <v>1</v>
      </c>
      <c r="BO179" s="25"/>
      <c r="BP179" s="63">
        <f t="shared" si="12"/>
        <v>4</v>
      </c>
      <c r="BQ179" s="63">
        <f t="shared" si="10"/>
        <v>1</v>
      </c>
      <c r="BR179" s="63">
        <f t="shared" si="11"/>
        <v>5</v>
      </c>
      <c r="BS179" s="79" t="s">
        <v>77</v>
      </c>
      <c r="BT179" s="79" t="s">
        <v>77</v>
      </c>
      <c r="BU179" s="72" t="s">
        <v>78</v>
      </c>
      <c r="BV179" s="25"/>
      <c r="BW179" s="25" t="s">
        <v>79</v>
      </c>
      <c r="BX179" s="25" t="s">
        <v>80</v>
      </c>
    </row>
    <row r="180" spans="1:76" ht="30.6" x14ac:dyDescent="0.3">
      <c r="A180" s="60">
        <v>179</v>
      </c>
      <c r="B180" s="60" t="s">
        <v>272</v>
      </c>
      <c r="C180" s="90" t="s">
        <v>27</v>
      </c>
      <c r="D180" s="78" t="s">
        <v>226</v>
      </c>
      <c r="E180" s="59" t="s">
        <v>324</v>
      </c>
      <c r="F180" s="48">
        <v>5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48">
        <v>5</v>
      </c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84">
        <v>1</v>
      </c>
      <c r="AD180" s="25">
        <v>3</v>
      </c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68">
        <v>1</v>
      </c>
      <c r="BC180" s="25"/>
      <c r="BD180" s="25"/>
      <c r="BE180" s="25"/>
      <c r="BF180" s="25"/>
      <c r="BG180" s="48">
        <v>3</v>
      </c>
      <c r="BH180" s="25"/>
      <c r="BI180" s="25"/>
      <c r="BJ180" s="25"/>
      <c r="BK180" s="25"/>
      <c r="BL180" s="25"/>
      <c r="BM180" s="25"/>
      <c r="BN180" s="48">
        <v>1</v>
      </c>
      <c r="BO180" s="25"/>
      <c r="BP180" s="63">
        <f t="shared" si="12"/>
        <v>4</v>
      </c>
      <c r="BQ180" s="63">
        <f t="shared" si="10"/>
        <v>1</v>
      </c>
      <c r="BR180" s="63">
        <f t="shared" si="11"/>
        <v>5</v>
      </c>
      <c r="BS180" s="79" t="s">
        <v>77</v>
      </c>
      <c r="BT180" s="79" t="s">
        <v>77</v>
      </c>
      <c r="BU180" s="72" t="s">
        <v>78</v>
      </c>
      <c r="BV180" s="25"/>
      <c r="BW180" s="25" t="s">
        <v>79</v>
      </c>
      <c r="BX180" s="25" t="s">
        <v>80</v>
      </c>
    </row>
    <row r="181" spans="1:76" ht="30.6" x14ac:dyDescent="0.3">
      <c r="A181" s="60">
        <v>180</v>
      </c>
      <c r="B181" s="60" t="s">
        <v>272</v>
      </c>
      <c r="C181" s="78" t="s">
        <v>26</v>
      </c>
      <c r="D181" s="78" t="s">
        <v>226</v>
      </c>
      <c r="E181" s="59" t="s">
        <v>325</v>
      </c>
      <c r="F181" s="48">
        <v>5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48">
        <v>5</v>
      </c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84">
        <v>1</v>
      </c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68">
        <v>1</v>
      </c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48">
        <v>1</v>
      </c>
      <c r="BO181" s="25"/>
      <c r="BP181" s="63">
        <f t="shared" si="12"/>
        <v>1</v>
      </c>
      <c r="BQ181" s="63">
        <f t="shared" si="10"/>
        <v>1</v>
      </c>
      <c r="BR181" s="63">
        <f t="shared" si="11"/>
        <v>2</v>
      </c>
      <c r="BS181" s="79" t="s">
        <v>77</v>
      </c>
      <c r="BT181" s="79" t="s">
        <v>77</v>
      </c>
      <c r="BU181" s="87" t="s">
        <v>77</v>
      </c>
      <c r="BV181" s="25" t="s">
        <v>274</v>
      </c>
      <c r="BW181" s="25" t="s">
        <v>79</v>
      </c>
      <c r="BX181" s="25" t="s">
        <v>176</v>
      </c>
    </row>
    <row r="182" spans="1:76" ht="51" x14ac:dyDescent="0.3">
      <c r="A182" s="60">
        <v>181</v>
      </c>
      <c r="B182" s="60" t="s">
        <v>272</v>
      </c>
      <c r="C182" s="78" t="s">
        <v>32</v>
      </c>
      <c r="D182" s="78" t="s">
        <v>226</v>
      </c>
      <c r="E182" s="59" t="s">
        <v>326</v>
      </c>
      <c r="F182" s="48">
        <v>5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48">
        <v>5</v>
      </c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84">
        <v>1</v>
      </c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68">
        <v>1</v>
      </c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48">
        <v>1</v>
      </c>
      <c r="BO182" s="25"/>
      <c r="BP182" s="63">
        <f t="shared" si="12"/>
        <v>1</v>
      </c>
      <c r="BQ182" s="63">
        <f t="shared" si="10"/>
        <v>1</v>
      </c>
      <c r="BR182" s="63">
        <f t="shared" si="11"/>
        <v>2</v>
      </c>
      <c r="BS182" s="79" t="s">
        <v>77</v>
      </c>
      <c r="BT182" s="79" t="s">
        <v>77</v>
      </c>
      <c r="BU182" s="87" t="s">
        <v>77</v>
      </c>
      <c r="BV182" s="25" t="s">
        <v>274</v>
      </c>
      <c r="BW182" s="25" t="s">
        <v>79</v>
      </c>
      <c r="BX182" s="25" t="s">
        <v>176</v>
      </c>
    </row>
    <row r="183" spans="1:76" ht="51" x14ac:dyDescent="0.3">
      <c r="A183" s="60">
        <v>182</v>
      </c>
      <c r="B183" s="60" t="s">
        <v>272</v>
      </c>
      <c r="C183" s="78" t="s">
        <v>32</v>
      </c>
      <c r="D183" s="78" t="s">
        <v>226</v>
      </c>
      <c r="E183" s="59" t="s">
        <v>327</v>
      </c>
      <c r="F183" s="48">
        <v>5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48">
        <v>5</v>
      </c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84">
        <v>1</v>
      </c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68">
        <v>1</v>
      </c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48">
        <v>1</v>
      </c>
      <c r="BO183" s="25"/>
      <c r="BP183" s="63">
        <f t="shared" si="12"/>
        <v>1</v>
      </c>
      <c r="BQ183" s="63">
        <f t="shared" si="10"/>
        <v>1</v>
      </c>
      <c r="BR183" s="63">
        <f t="shared" si="11"/>
        <v>2</v>
      </c>
      <c r="BS183" s="79" t="s">
        <v>77</v>
      </c>
      <c r="BT183" s="79" t="s">
        <v>77</v>
      </c>
      <c r="BU183" s="87" t="s">
        <v>77</v>
      </c>
      <c r="BV183" s="25" t="s">
        <v>274</v>
      </c>
      <c r="BW183" s="25" t="s">
        <v>79</v>
      </c>
      <c r="BX183" s="25" t="s">
        <v>176</v>
      </c>
    </row>
    <row r="184" spans="1:76" ht="40.799999999999997" x14ac:dyDescent="0.3">
      <c r="A184" s="60">
        <v>183</v>
      </c>
      <c r="B184" s="60" t="s">
        <v>272</v>
      </c>
      <c r="C184" s="78" t="s">
        <v>32</v>
      </c>
      <c r="D184" s="78" t="s">
        <v>226</v>
      </c>
      <c r="E184" s="59" t="s">
        <v>328</v>
      </c>
      <c r="F184" s="48">
        <v>5</v>
      </c>
      <c r="G184" s="60">
        <v>0</v>
      </c>
      <c r="H184" s="60">
        <v>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48">
        <v>5</v>
      </c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84">
        <v>1</v>
      </c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68">
        <v>1</v>
      </c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48">
        <v>1</v>
      </c>
      <c r="BO184" s="25"/>
      <c r="BP184" s="63">
        <f t="shared" si="12"/>
        <v>1</v>
      </c>
      <c r="BQ184" s="63">
        <f t="shared" si="10"/>
        <v>1</v>
      </c>
      <c r="BR184" s="63">
        <f t="shared" si="11"/>
        <v>2</v>
      </c>
      <c r="BS184" s="79" t="s">
        <v>77</v>
      </c>
      <c r="BT184" s="79" t="s">
        <v>77</v>
      </c>
      <c r="BU184" s="87" t="s">
        <v>77</v>
      </c>
      <c r="BV184" s="25" t="s">
        <v>274</v>
      </c>
      <c r="BW184" s="25" t="s">
        <v>79</v>
      </c>
      <c r="BX184" s="25" t="s">
        <v>176</v>
      </c>
    </row>
    <row r="185" spans="1:76" ht="30.6" x14ac:dyDescent="0.3">
      <c r="A185" s="60">
        <v>184</v>
      </c>
      <c r="B185" s="60" t="s">
        <v>272</v>
      </c>
      <c r="C185" s="78" t="s">
        <v>32</v>
      </c>
      <c r="D185" s="78" t="s">
        <v>226</v>
      </c>
      <c r="E185" s="59" t="s">
        <v>329</v>
      </c>
      <c r="F185" s="48">
        <v>5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48">
        <v>5</v>
      </c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84">
        <v>1</v>
      </c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68">
        <v>1</v>
      </c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48">
        <v>1</v>
      </c>
      <c r="BO185" s="25"/>
      <c r="BP185" s="63">
        <f t="shared" si="12"/>
        <v>1</v>
      </c>
      <c r="BQ185" s="63">
        <f t="shared" si="10"/>
        <v>1</v>
      </c>
      <c r="BR185" s="63">
        <f t="shared" si="11"/>
        <v>2</v>
      </c>
      <c r="BS185" s="79" t="s">
        <v>77</v>
      </c>
      <c r="BT185" s="79" t="s">
        <v>77</v>
      </c>
      <c r="BU185" s="87" t="s">
        <v>77</v>
      </c>
      <c r="BV185" s="25" t="s">
        <v>274</v>
      </c>
      <c r="BW185" s="25" t="s">
        <v>79</v>
      </c>
      <c r="BX185" s="25" t="s">
        <v>176</v>
      </c>
    </row>
    <row r="186" spans="1:76" ht="30.6" x14ac:dyDescent="0.3">
      <c r="A186" s="60">
        <v>185</v>
      </c>
      <c r="B186" s="60" t="s">
        <v>272</v>
      </c>
      <c r="C186" s="78" t="s">
        <v>32</v>
      </c>
      <c r="D186" s="78" t="s">
        <v>226</v>
      </c>
      <c r="E186" s="59" t="s">
        <v>330</v>
      </c>
      <c r="F186" s="48">
        <v>5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48">
        <v>5</v>
      </c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84">
        <v>1</v>
      </c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68">
        <v>1</v>
      </c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48">
        <v>1</v>
      </c>
      <c r="BO186" s="25"/>
      <c r="BP186" s="63">
        <f t="shared" si="12"/>
        <v>1</v>
      </c>
      <c r="BQ186" s="63">
        <f t="shared" si="10"/>
        <v>1</v>
      </c>
      <c r="BR186" s="63">
        <f t="shared" si="11"/>
        <v>2</v>
      </c>
      <c r="BS186" s="79" t="s">
        <v>77</v>
      </c>
      <c r="BT186" s="79" t="s">
        <v>77</v>
      </c>
      <c r="BU186" s="87" t="s">
        <v>77</v>
      </c>
      <c r="BV186" s="25" t="s">
        <v>274</v>
      </c>
      <c r="BW186" s="25" t="s">
        <v>79</v>
      </c>
      <c r="BX186" s="25" t="s">
        <v>176</v>
      </c>
    </row>
    <row r="187" spans="1:76" ht="40.799999999999997" x14ac:dyDescent="0.3">
      <c r="A187" s="60">
        <v>186</v>
      </c>
      <c r="B187" s="60" t="s">
        <v>272</v>
      </c>
      <c r="C187" s="78" t="s">
        <v>32</v>
      </c>
      <c r="D187" s="78" t="s">
        <v>226</v>
      </c>
      <c r="E187" s="59" t="s">
        <v>331</v>
      </c>
      <c r="F187" s="48">
        <v>5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48">
        <v>5</v>
      </c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84">
        <v>1</v>
      </c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68">
        <v>1</v>
      </c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48">
        <v>1</v>
      </c>
      <c r="BO187" s="25"/>
      <c r="BP187" s="63">
        <f t="shared" si="12"/>
        <v>1</v>
      </c>
      <c r="BQ187" s="63">
        <f t="shared" si="10"/>
        <v>1</v>
      </c>
      <c r="BR187" s="63">
        <f t="shared" si="11"/>
        <v>2</v>
      </c>
      <c r="BS187" s="79" t="s">
        <v>77</v>
      </c>
      <c r="BT187" s="79" t="s">
        <v>77</v>
      </c>
      <c r="BU187" s="87" t="s">
        <v>77</v>
      </c>
      <c r="BV187" s="25" t="s">
        <v>274</v>
      </c>
      <c r="BW187" s="25" t="s">
        <v>79</v>
      </c>
      <c r="BX187" s="25" t="s">
        <v>176</v>
      </c>
    </row>
    <row r="188" spans="1:76" ht="30.6" x14ac:dyDescent="0.3">
      <c r="A188" s="60">
        <v>187</v>
      </c>
      <c r="B188" s="60" t="s">
        <v>272</v>
      </c>
      <c r="C188" s="78" t="s">
        <v>332</v>
      </c>
      <c r="D188" s="78" t="s">
        <v>226</v>
      </c>
      <c r="E188" s="59" t="s">
        <v>333</v>
      </c>
      <c r="F188" s="48">
        <v>5</v>
      </c>
      <c r="G188" s="60">
        <v>0</v>
      </c>
      <c r="H188" s="60">
        <v>0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48">
        <v>5</v>
      </c>
      <c r="O188" s="25"/>
      <c r="P188" s="25"/>
      <c r="Q188" s="25"/>
      <c r="R188" s="25"/>
      <c r="S188" s="84">
        <v>1</v>
      </c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68">
        <v>1</v>
      </c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48">
        <v>1</v>
      </c>
      <c r="BO188" s="25"/>
      <c r="BP188" s="63">
        <f t="shared" si="12"/>
        <v>1</v>
      </c>
      <c r="BQ188" s="63">
        <f t="shared" si="10"/>
        <v>1</v>
      </c>
      <c r="BR188" s="63">
        <f t="shared" si="11"/>
        <v>2</v>
      </c>
      <c r="BS188" s="79" t="s">
        <v>77</v>
      </c>
      <c r="BT188" s="79" t="s">
        <v>77</v>
      </c>
      <c r="BU188" s="87" t="s">
        <v>77</v>
      </c>
      <c r="BV188" s="25" t="s">
        <v>274</v>
      </c>
      <c r="BW188" s="25" t="s">
        <v>79</v>
      </c>
      <c r="BX188" s="25" t="s">
        <v>176</v>
      </c>
    </row>
    <row r="189" spans="1:76" ht="51" x14ac:dyDescent="0.3">
      <c r="A189" s="60">
        <v>188</v>
      </c>
      <c r="B189" s="60" t="s">
        <v>272</v>
      </c>
      <c r="C189" s="85" t="s">
        <v>259</v>
      </c>
      <c r="D189" s="78" t="s">
        <v>226</v>
      </c>
      <c r="E189" s="81" t="s">
        <v>334</v>
      </c>
      <c r="F189" s="48">
        <v>5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48">
        <v>5</v>
      </c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84">
        <v>3</v>
      </c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68"/>
      <c r="BC189" s="25"/>
      <c r="BD189" s="25"/>
      <c r="BE189" s="25"/>
      <c r="BF189" s="25"/>
      <c r="BG189" s="25"/>
      <c r="BH189" s="48">
        <v>3</v>
      </c>
      <c r="BI189" s="25"/>
      <c r="BJ189" s="25"/>
      <c r="BK189" s="25"/>
      <c r="BL189" s="25"/>
      <c r="BM189" s="25"/>
      <c r="BN189" s="48">
        <v>1</v>
      </c>
      <c r="BO189" s="25"/>
      <c r="BP189" s="63">
        <f t="shared" si="12"/>
        <v>3</v>
      </c>
      <c r="BQ189" s="63">
        <f t="shared" si="10"/>
        <v>1</v>
      </c>
      <c r="BR189" s="63">
        <f t="shared" si="11"/>
        <v>4</v>
      </c>
      <c r="BS189" s="79" t="s">
        <v>77</v>
      </c>
      <c r="BT189" s="79" t="s">
        <v>77</v>
      </c>
      <c r="BU189" s="79" t="s">
        <v>77</v>
      </c>
      <c r="BV189" s="24" t="s">
        <v>228</v>
      </c>
      <c r="BW189" s="25" t="s">
        <v>178</v>
      </c>
      <c r="BX189" s="25" t="s">
        <v>176</v>
      </c>
    </row>
    <row r="190" spans="1:76" ht="51" x14ac:dyDescent="0.3">
      <c r="A190" s="60">
        <v>189</v>
      </c>
      <c r="B190" s="60" t="s">
        <v>272</v>
      </c>
      <c r="C190" s="85" t="s">
        <v>259</v>
      </c>
      <c r="D190" s="78" t="s">
        <v>226</v>
      </c>
      <c r="E190" s="81" t="s">
        <v>335</v>
      </c>
      <c r="F190" s="48">
        <v>5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48">
        <v>5</v>
      </c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84">
        <v>3</v>
      </c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68"/>
      <c r="BC190" s="25"/>
      <c r="BD190" s="25"/>
      <c r="BE190" s="25"/>
      <c r="BF190" s="25"/>
      <c r="BG190" s="25"/>
      <c r="BH190" s="48">
        <v>3</v>
      </c>
      <c r="BI190" s="25"/>
      <c r="BJ190" s="25"/>
      <c r="BK190" s="25"/>
      <c r="BL190" s="25"/>
      <c r="BM190" s="25"/>
      <c r="BN190" s="48">
        <v>1</v>
      </c>
      <c r="BO190" s="25"/>
      <c r="BP190" s="63">
        <f t="shared" si="12"/>
        <v>3</v>
      </c>
      <c r="BQ190" s="63">
        <f t="shared" si="10"/>
        <v>1</v>
      </c>
      <c r="BR190" s="63">
        <f t="shared" si="11"/>
        <v>4</v>
      </c>
      <c r="BS190" s="79" t="s">
        <v>77</v>
      </c>
      <c r="BT190" s="79" t="s">
        <v>77</v>
      </c>
      <c r="BU190" s="79" t="s">
        <v>77</v>
      </c>
      <c r="BV190" s="24" t="s">
        <v>228</v>
      </c>
      <c r="BW190" s="25" t="s">
        <v>178</v>
      </c>
      <c r="BX190" s="25" t="s">
        <v>176</v>
      </c>
    </row>
    <row r="191" spans="1:76" ht="40.799999999999997" x14ac:dyDescent="0.3">
      <c r="A191" s="60">
        <v>190</v>
      </c>
      <c r="B191" s="60" t="s">
        <v>272</v>
      </c>
      <c r="C191" s="85" t="s">
        <v>259</v>
      </c>
      <c r="D191" s="78" t="s">
        <v>226</v>
      </c>
      <c r="E191" s="59" t="s">
        <v>336</v>
      </c>
      <c r="F191" s="48">
        <v>5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0</v>
      </c>
      <c r="M191" s="60">
        <v>0</v>
      </c>
      <c r="N191" s="48">
        <v>5</v>
      </c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84">
        <v>1</v>
      </c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68">
        <v>1</v>
      </c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48">
        <v>1</v>
      </c>
      <c r="BO191" s="25"/>
      <c r="BP191" s="63">
        <f t="shared" si="12"/>
        <v>1</v>
      </c>
      <c r="BQ191" s="63">
        <f t="shared" si="10"/>
        <v>1</v>
      </c>
      <c r="BR191" s="63">
        <f t="shared" si="11"/>
        <v>2</v>
      </c>
      <c r="BS191" s="79" t="s">
        <v>77</v>
      </c>
      <c r="BT191" s="79" t="s">
        <v>77</v>
      </c>
      <c r="BU191" s="87" t="s">
        <v>77</v>
      </c>
      <c r="BV191" s="25" t="s">
        <v>274</v>
      </c>
      <c r="BW191" s="25" t="s">
        <v>79</v>
      </c>
      <c r="BX191" s="25" t="s">
        <v>176</v>
      </c>
    </row>
    <row r="192" spans="1:76" ht="40.799999999999997" x14ac:dyDescent="0.3">
      <c r="A192" s="60">
        <v>191</v>
      </c>
      <c r="B192" s="60" t="s">
        <v>272</v>
      </c>
      <c r="C192" s="78" t="s">
        <v>32</v>
      </c>
      <c r="D192" s="78" t="s">
        <v>226</v>
      </c>
      <c r="E192" s="59" t="s">
        <v>337</v>
      </c>
      <c r="F192" s="48">
        <v>5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0</v>
      </c>
      <c r="M192" s="60">
        <v>0</v>
      </c>
      <c r="N192" s="48">
        <v>5</v>
      </c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84">
        <v>1</v>
      </c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68">
        <v>1</v>
      </c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48">
        <v>1</v>
      </c>
      <c r="BO192" s="25"/>
      <c r="BP192" s="63">
        <f t="shared" si="12"/>
        <v>1</v>
      </c>
      <c r="BQ192" s="63">
        <f t="shared" si="10"/>
        <v>1</v>
      </c>
      <c r="BR192" s="63">
        <f t="shared" si="11"/>
        <v>2</v>
      </c>
      <c r="BS192" s="79" t="s">
        <v>77</v>
      </c>
      <c r="BT192" s="79" t="s">
        <v>77</v>
      </c>
      <c r="BU192" s="87" t="s">
        <v>77</v>
      </c>
      <c r="BV192" s="25" t="s">
        <v>274</v>
      </c>
      <c r="BW192" s="25" t="s">
        <v>79</v>
      </c>
      <c r="BX192" s="25" t="s">
        <v>176</v>
      </c>
    </row>
  </sheetData>
  <conditionalFormatting sqref="D49">
    <cfRule type="duplicateValues" dxfId="5" priority="5"/>
    <cfRule type="duplicateValues" dxfId="4" priority="6"/>
  </conditionalFormatting>
  <conditionalFormatting sqref="D50:D134">
    <cfRule type="duplicateValues" dxfId="3" priority="3"/>
    <cfRule type="duplicateValues" dxfId="2" priority="4"/>
  </conditionalFormatting>
  <conditionalFormatting sqref="D135:D19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Quality_Assurance_Matrix - 2026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DEVASANJAY N</dc:creator>
  <cp:lastModifiedBy>DEVASANJAY N (EXTERNAL)</cp:lastModifiedBy>
  <dcterms:created xsi:type="dcterms:W3CDTF">2026-01-30T02:30:44Z</dcterms:created>
  <dcterms:modified xsi:type="dcterms:W3CDTF">2026-02-11T05:45:13Z</dcterms:modified>
</cp:coreProperties>
</file>